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📖 Guid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MasterData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yc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YYYY-MM-DD"/>
    <numFmt numFmtId="166" formatCode="0.0&quot;%&quot;"/>
    <numFmt numFmtId="167" formatCode="#,##0;(#,##0);-"/>
    <numFmt numFmtId="168" formatCode="0.0%"/>
  </numFmts>
  <fonts count="43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color rgb="FF64748B"/>
      <sz val="9"/>
    </font>
    <font>
      <name val="Arial"/>
      <b val="1"/>
      <color rgb="FF048A81"/>
      <sz val="13"/>
    </font>
    <font>
      <name val="Arial"/>
      <b val="1"/>
      <color rgb="FF64748B"/>
      <sz val="9"/>
    </font>
    <font>
      <name val="Calibri"/>
      <color theme="1"/>
      <sz val="11"/>
    </font>
    <font>
      <name val="Arial"/>
      <b val="1"/>
      <color rgb="FF1F2D3D"/>
      <sz val="10"/>
    </font>
    <font>
      <name val="Arial"/>
      <color rgb="FF1F2D3D"/>
      <sz val="9"/>
    </font>
    <font>
      <name val="Arial"/>
      <i val="1"/>
      <color rgb="FF64748B"/>
      <sz val="9"/>
    </font>
    <font>
      <name val="Arial"/>
      <color theme="1"/>
      <sz val="9"/>
    </font>
    <font>
      <name val="Arial"/>
      <b val="1"/>
      <color rgb="FF1E40AF"/>
      <sz val="13"/>
    </font>
    <font>
      <name val="Arial"/>
      <b val="1"/>
      <color rgb="FFB45309"/>
      <sz val="13"/>
    </font>
    <font>
      <name val="Arial"/>
      <b val="1"/>
      <color rgb="FF5B21B6"/>
      <sz val="13"/>
    </font>
    <font>
      <name val="Arial"/>
      <b val="1"/>
      <color rgb="FF166534"/>
      <sz val="12"/>
    </font>
    <font>
      <name val="Arial"/>
      <b val="1"/>
      <color rgb="FFFFFFFF"/>
      <sz val="10"/>
    </font>
    <font>
      <name val="Arial"/>
      <color rgb="FF1F2D3D"/>
      <sz val="10"/>
    </font>
    <font>
      <name val="Arial"/>
      <b val="1"/>
      <color rgb="FF1F2D3D"/>
      <sz val="9"/>
    </font>
    <font>
      <name val="Arial"/>
      <color rgb="FF888888"/>
      <sz val="9"/>
    </font>
    <font>
      <name val="Arial"/>
      <color rgb="FF0000FF"/>
      <sz val="9"/>
    </font>
    <font>
      <name val="Arial"/>
      <b val="1"/>
      <color rgb="FF000000"/>
      <sz val="9"/>
    </font>
    <font>
      <name val="Arial"/>
      <i val="1"/>
      <color rgb="FF888888"/>
      <sz val="8"/>
    </font>
    <font>
      <name val="Calibri"/>
      <color theme="1"/>
      <scheme val="minor"/>
    </font>
    <font>
      <name val="Arial"/>
      <color rgb="FF721C24"/>
      <sz val="9"/>
    </font>
    <font>
      <name val="Arial"/>
      <b val="1"/>
      <color rgb="FF0000FF"/>
      <sz val="9"/>
    </font>
    <font>
      <name val="Arial"/>
      <color rgb="FF006400"/>
      <sz val="9"/>
    </font>
    <font>
      <name val="Arial"/>
      <color rgb="FF0C5460"/>
      <sz val="9"/>
    </font>
    <font>
      <name val="Arial"/>
      <color rgb="FF155724"/>
      <sz val="9"/>
    </font>
    <font>
      <name val="Arial"/>
      <b val="1"/>
      <color rgb="FF155724"/>
      <sz val="9"/>
    </font>
    <font>
      <name val="Arial"/>
      <color rgb="FF856404"/>
      <sz val="9"/>
    </font>
    <font>
      <name val="Arial"/>
      <b val="1"/>
      <color rgb="FFFFFFFF"/>
      <sz val="11"/>
    </font>
    <font>
      <name val="Arial"/>
      <b val="1"/>
      <color rgb="FF0000FF"/>
      <sz val="12"/>
    </font>
    <font>
      <name val="Arial"/>
      <color rgb="FFAAAAAA"/>
      <sz val="8"/>
    </font>
    <font>
      <name val="Arial"/>
      <b val="1"/>
      <color rgb="FF6B7280"/>
      <sz val="9"/>
    </font>
    <font>
      <name val="Arial"/>
      <b val="1"/>
      <color rgb="FF1F2D3D"/>
      <sz val="14"/>
    </font>
    <font>
      <name val="Arial"/>
      <b val="1"/>
      <color rgb="FF1F2D3D"/>
      <sz val="11"/>
    </font>
    <font>
      <name val="Arial"/>
      <color rgb="FF000000"/>
      <sz val="9"/>
    </font>
    <font>
      <name val="Arial"/>
      <b val="1"/>
      <color rgb="FF856404"/>
      <sz val="9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color rgb="FF000000"/>
      <sz val="10"/>
    </font>
  </fonts>
  <fills count="24">
    <fill>
      <patternFill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F7F8FA"/>
        <bgColor rgb="FFF7F8FA"/>
      </patternFill>
    </fill>
    <fill>
      <patternFill patternType="solid">
        <fgColor rgb="FFD6F0EE"/>
        <bgColor rgb="FFD6F0EE"/>
      </patternFill>
    </fill>
    <fill>
      <patternFill patternType="solid">
        <fgColor rgb="FFFFFFFF"/>
        <bgColor rgb="FFFFFFFF"/>
      </patternFill>
    </fill>
    <fill>
      <patternFill patternType="solid">
        <fgColor rgb="FFC8EDE9"/>
        <bgColor rgb="FFC8EDE9"/>
      </patternFill>
    </fill>
    <fill>
      <patternFill patternType="solid">
        <fgColor rgb="FFEFF6FF"/>
        <bgColor rgb="FFEFF6FF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DE68A"/>
        <bgColor rgb="FFFDE68A"/>
      </patternFill>
    </fill>
    <fill>
      <patternFill patternType="solid">
        <fgColor rgb="FFF5F3FF"/>
        <bgColor rgb="FFF5F3FF"/>
      </patternFill>
    </fill>
    <fill>
      <patternFill patternType="solid">
        <fgColor rgb="FFEDE9FE"/>
        <bgColor rgb="FFEDE9FE"/>
      </patternFill>
    </fill>
    <fill>
      <patternFill patternType="solid">
        <fgColor rgb="FFF0FDF4"/>
        <bgColor rgb="FFF0FDF4"/>
      </patternFill>
    </fill>
    <fill>
      <patternFill patternType="solid">
        <fgColor rgb="FFDCFCE7"/>
        <bgColor rgb="FFDCFCE7"/>
      </patternFill>
    </fill>
    <fill>
      <patternFill patternType="solid">
        <fgColor rgb="FFF8D7DA"/>
        <bgColor rgb="FFF8D7DA"/>
      </patternFill>
    </fill>
    <fill>
      <patternFill patternType="solid">
        <fgColor rgb="FFD1ECF1"/>
        <bgColor rgb="FFD1ECF1"/>
      </patternFill>
    </fill>
    <fill>
      <patternFill patternType="solid">
        <fgColor rgb="FFD4EDDA"/>
        <bgColor rgb="FFD4EDDA"/>
      </patternFill>
    </fill>
    <fill>
      <patternFill patternType="solid">
        <fgColor rgb="FF2E4057"/>
        <bgColor rgb="FF2E4057"/>
      </patternFill>
    </fill>
    <fill>
      <patternFill patternType="solid">
        <fgColor rgb="FF048A81"/>
        <bgColor rgb="FF048A81"/>
      </patternFill>
    </fill>
    <fill>
      <patternFill patternType="solid">
        <fgColor rgb="FF2E75B6"/>
      </patternFill>
    </fill>
    <fill>
      <patternFill patternType="solid">
        <fgColor rgb="FFF2F8FF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bottom style="thin">
        <color rgb="FFE2E8F0"/>
      </bottom>
    </border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</border>
    <border>
      <right style="thin">
        <color rgb="FFE2E8F0"/>
      </right>
      <top style="thin">
        <color rgb="FFE2E8F0"/>
      </top>
    </border>
    <border>
      <top style="thin">
        <color rgb="FFD0D7DE"/>
      </top>
    </border>
    <border>
      <right style="thin">
        <color rgb="FFD0D7DE"/>
      </right>
      <top style="thin">
        <color rgb="FFD0D7DE"/>
      </top>
    </border>
  </borders>
  <cellStyleXfs count="1">
    <xf numFmtId="0" fontId="0" fillId="0" borderId="0"/>
  </cellStyleXfs>
  <cellXfs count="14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6" fillId="5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2" fillId="0" borderId="8" pivotButton="0" quotePrefix="0" xfId="0"/>
    <xf numFmtId="0" fontId="7" fillId="6" borderId="6" applyAlignment="1" pivotButton="0" quotePrefix="0" xfId="0">
      <alignment horizontal="left" vertical="center" wrapText="1"/>
    </xf>
    <xf numFmtId="0" fontId="8" fillId="3" borderId="6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left" vertical="center" wrapText="1"/>
    </xf>
    <xf numFmtId="0" fontId="10" fillId="5" borderId="9" applyAlignment="1" pivotButton="0" quotePrefix="0" xfId="0">
      <alignment horizontal="left" vertical="center" wrapText="1"/>
    </xf>
    <xf numFmtId="0" fontId="9" fillId="3" borderId="10" applyAlignment="1" pivotButton="0" quotePrefix="0" xfId="0">
      <alignment horizontal="left" vertical="center" wrapText="1"/>
    </xf>
    <xf numFmtId="0" fontId="2" fillId="0" borderId="11" pivotButton="0" quotePrefix="0" xfId="0"/>
    <xf numFmtId="0" fontId="11" fillId="7" borderId="5" applyAlignment="1" pivotButton="0" quotePrefix="0" xfId="0">
      <alignment horizontal="left" vertical="center"/>
    </xf>
    <xf numFmtId="0" fontId="2" fillId="0" borderId="4" pivotButton="0" quotePrefix="0" xfId="0"/>
    <xf numFmtId="0" fontId="7" fillId="7" borderId="6" applyAlignment="1" pivotButton="0" quotePrefix="0" xfId="0">
      <alignment horizontal="left" vertical="center" wrapText="1"/>
    </xf>
    <xf numFmtId="0" fontId="7" fillId="8" borderId="6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6" fillId="0" borderId="8" pivotButton="0" quotePrefix="0" xfId="0"/>
    <xf numFmtId="0" fontId="12" fillId="9" borderId="5" applyAlignment="1" pivotButton="0" quotePrefix="0" xfId="0">
      <alignment horizontal="left" vertical="center"/>
    </xf>
    <xf numFmtId="0" fontId="7" fillId="9" borderId="6" applyAlignment="1" pivotButton="0" quotePrefix="0" xfId="0">
      <alignment horizontal="left" vertical="center" wrapText="1"/>
    </xf>
    <xf numFmtId="0" fontId="7" fillId="10" borderId="6" applyAlignment="1" pivotButton="0" quotePrefix="0" xfId="0">
      <alignment horizontal="left" vertical="center" wrapText="1"/>
    </xf>
    <xf numFmtId="0" fontId="7" fillId="9" borderId="9" applyAlignment="1" pivotButton="0" quotePrefix="0" xfId="0">
      <alignment horizontal="left" vertical="center" wrapText="1"/>
    </xf>
    <xf numFmtId="0" fontId="7" fillId="10" borderId="7" applyAlignment="1" pivotButton="0" quotePrefix="0" xfId="0">
      <alignment horizontal="left" vertical="center" wrapText="1"/>
    </xf>
    <xf numFmtId="0" fontId="2" fillId="0" borderId="12" pivotButton="0" quotePrefix="0" xfId="0"/>
    <xf numFmtId="0" fontId="13" fillId="11" borderId="5" applyAlignment="1" pivotButton="0" quotePrefix="0" xfId="0">
      <alignment horizontal="left" vertical="center"/>
    </xf>
    <xf numFmtId="0" fontId="7" fillId="11" borderId="6" applyAlignment="1" pivotButton="0" quotePrefix="0" xfId="0">
      <alignment horizontal="left" vertical="center" wrapText="1"/>
    </xf>
    <xf numFmtId="0" fontId="7" fillId="12" borderId="6" applyAlignment="1" pivotButton="0" quotePrefix="0" xfId="0">
      <alignment horizontal="left" vertical="center" wrapText="1"/>
    </xf>
    <xf numFmtId="0" fontId="7" fillId="12" borderId="7" applyAlignment="1" pivotButton="0" quotePrefix="0" xfId="0">
      <alignment horizontal="left" vertical="center" wrapText="1"/>
    </xf>
    <xf numFmtId="0" fontId="14" fillId="13" borderId="5" applyAlignment="1" pivotButton="0" quotePrefix="0" xfId="0">
      <alignment horizontal="left" vertical="center"/>
    </xf>
    <xf numFmtId="0" fontId="7" fillId="13" borderId="6" applyAlignment="1" pivotButton="0" quotePrefix="0" xfId="0">
      <alignment horizontal="left" vertical="center" wrapText="1"/>
    </xf>
    <xf numFmtId="0" fontId="7" fillId="14" borderId="7" applyAlignment="1" pivotButton="0" quotePrefix="0" xfId="0">
      <alignment horizontal="left" vertical="center" wrapText="1"/>
    </xf>
    <xf numFmtId="0" fontId="7" fillId="14" borderId="6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/>
    </xf>
    <xf numFmtId="0" fontId="15" fillId="2" borderId="5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7" fillId="3" borderId="9" applyAlignment="1" pivotButton="0" quotePrefix="0" xfId="0">
      <alignment horizontal="center" vertical="center"/>
    </xf>
    <xf numFmtId="164" fontId="18" fillId="3" borderId="9" applyAlignment="1" pivotButton="0" quotePrefix="0" xfId="0">
      <alignment horizontal="right" vertical="center"/>
    </xf>
    <xf numFmtId="0" fontId="17" fillId="5" borderId="9" applyAlignment="1" pivotButton="0" quotePrefix="0" xfId="0">
      <alignment horizontal="center" vertical="center"/>
    </xf>
    <xf numFmtId="164" fontId="19" fillId="5" borderId="9" applyAlignment="1" pivotButton="0" quotePrefix="0" xfId="0">
      <alignment horizontal="right" vertical="center"/>
    </xf>
    <xf numFmtId="164" fontId="19" fillId="3" borderId="9" applyAlignment="1" pivotButton="0" quotePrefix="0" xfId="0">
      <alignment horizontal="right" vertical="center"/>
    </xf>
    <xf numFmtId="0" fontId="20" fillId="3" borderId="9" applyAlignment="1" pivotButton="0" quotePrefix="0" xfId="0">
      <alignment horizontal="center" vertical="center"/>
    </xf>
    <xf numFmtId="0" fontId="20" fillId="5" borderId="9" applyAlignment="1" pivotButton="0" quotePrefix="0" xfId="0">
      <alignment horizontal="center" vertical="center"/>
    </xf>
    <xf numFmtId="0" fontId="21" fillId="0" borderId="0" pivotButton="0" quotePrefix="0" xfId="0"/>
    <xf numFmtId="0" fontId="22" fillId="0" borderId="0" pivotButton="0" quotePrefix="0" xfId="0"/>
    <xf numFmtId="165" fontId="8" fillId="3" borderId="9" applyAlignment="1" pivotButton="0" quotePrefix="0" xfId="0">
      <alignment horizontal="left" vertical="center"/>
    </xf>
    <xf numFmtId="0" fontId="8" fillId="3" borderId="9" applyAlignment="1" pivotButton="0" quotePrefix="0" xfId="0">
      <alignment horizontal="left" vertical="center"/>
    </xf>
    <xf numFmtId="4" fontId="8" fillId="3" borderId="9" applyAlignment="1" pivotButton="0" quotePrefix="0" xfId="0">
      <alignment horizontal="right" vertical="center"/>
    </xf>
    <xf numFmtId="0" fontId="23" fillId="15" borderId="9" applyAlignment="1" pivotButton="0" quotePrefix="0" xfId="0">
      <alignment horizontal="left" vertical="center"/>
    </xf>
    <xf numFmtId="0" fontId="24" fillId="3" borderId="9" applyAlignment="1" pivotButton="0" quotePrefix="0" xfId="0">
      <alignment horizontal="center" vertical="center"/>
    </xf>
    <xf numFmtId="4" fontId="25" fillId="3" borderId="9" applyAlignment="1" pivotButton="0" quotePrefix="0" xfId="0">
      <alignment horizontal="right" vertical="center"/>
    </xf>
    <xf numFmtId="165" fontId="8" fillId="5" borderId="9" applyAlignment="1" pivotButton="0" quotePrefix="0" xfId="0">
      <alignment horizontal="left" vertical="center"/>
    </xf>
    <xf numFmtId="0" fontId="8" fillId="5" borderId="9" applyAlignment="1" pivotButton="0" quotePrefix="0" xfId="0">
      <alignment horizontal="left" vertical="center"/>
    </xf>
    <xf numFmtId="4" fontId="8" fillId="5" borderId="9" applyAlignment="1" pivotButton="0" quotePrefix="0" xfId="0">
      <alignment horizontal="right" vertical="center"/>
    </xf>
    <xf numFmtId="0" fontId="24" fillId="5" borderId="9" applyAlignment="1" pivotButton="0" quotePrefix="0" xfId="0">
      <alignment horizontal="center" vertical="center"/>
    </xf>
    <xf numFmtId="4" fontId="25" fillId="5" borderId="9" applyAlignment="1" pivotButton="0" quotePrefix="0" xfId="0">
      <alignment horizontal="right" vertical="center"/>
    </xf>
    <xf numFmtId="0" fontId="26" fillId="16" borderId="9" applyAlignment="1" pivotButton="0" quotePrefix="0" xfId="0">
      <alignment horizontal="left" vertical="center"/>
    </xf>
    <xf numFmtId="0" fontId="27" fillId="17" borderId="9" applyAlignment="1" pivotButton="0" quotePrefix="0" xfId="0">
      <alignment horizontal="left" vertical="center"/>
    </xf>
    <xf numFmtId="4" fontId="8" fillId="5" borderId="9" applyAlignment="1" pivotButton="0" quotePrefix="0" xfId="0">
      <alignment horizontal="right" vertical="center"/>
    </xf>
    <xf numFmtId="0" fontId="24" fillId="5" borderId="9" applyAlignment="1" pivotButton="0" quotePrefix="0" xfId="0">
      <alignment horizontal="center" vertical="center"/>
    </xf>
    <xf numFmtId="0" fontId="8" fillId="0" borderId="9" pivotButton="0" quotePrefix="0" xfId="0"/>
    <xf numFmtId="0" fontId="22" fillId="0" borderId="0" pivotButton="0" quotePrefix="0" xfId="0"/>
    <xf numFmtId="3" fontId="8" fillId="3" borderId="9" applyAlignment="1" pivotButton="0" quotePrefix="0" xfId="0">
      <alignment horizontal="right" vertical="center"/>
    </xf>
    <xf numFmtId="3" fontId="27" fillId="3" borderId="9" applyAlignment="1" pivotButton="0" quotePrefix="0" xfId="0">
      <alignment horizontal="right" vertical="center"/>
    </xf>
    <xf numFmtId="166" fontId="28" fillId="3" borderId="9" applyAlignment="1" pivotButton="0" quotePrefix="0" xfId="0">
      <alignment horizontal="right" vertical="center"/>
    </xf>
    <xf numFmtId="3" fontId="8" fillId="5" borderId="9" applyAlignment="1" pivotButton="0" quotePrefix="0" xfId="0">
      <alignment horizontal="right" vertical="center"/>
    </xf>
    <xf numFmtId="3" fontId="23" fillId="5" borderId="9" applyAlignment="1" pivotButton="0" quotePrefix="0" xfId="0">
      <alignment horizontal="right" vertical="center"/>
    </xf>
    <xf numFmtId="166" fontId="28" fillId="5" borderId="9" applyAlignment="1" pivotButton="0" quotePrefix="0" xfId="0">
      <alignment horizontal="right" vertical="center"/>
    </xf>
    <xf numFmtId="166" fontId="23" fillId="5" borderId="9" applyAlignment="1" pivotButton="0" quotePrefix="0" xfId="0">
      <alignment horizontal="right" vertical="center"/>
    </xf>
    <xf numFmtId="166" fontId="29" fillId="3" borderId="9" applyAlignment="1" pivotButton="0" quotePrefix="0" xfId="0">
      <alignment horizontal="right" vertical="center"/>
    </xf>
    <xf numFmtId="3" fontId="27" fillId="5" borderId="9" applyAlignment="1" pivotButton="0" quotePrefix="0" xfId="0">
      <alignment horizontal="right" vertical="center"/>
    </xf>
    <xf numFmtId="166" fontId="23" fillId="3" borderId="9" applyAlignment="1" pivotButton="0" quotePrefix="0" xfId="0">
      <alignment horizontal="right" vertical="center"/>
    </xf>
    <xf numFmtId="166" fontId="29" fillId="5" borderId="9" applyAlignment="1" pivotButton="0" quotePrefix="0" xfId="0">
      <alignment horizontal="right" vertical="center"/>
    </xf>
    <xf numFmtId="3" fontId="23" fillId="3" borderId="9" applyAlignment="1" pivotButton="0" quotePrefix="0" xfId="0">
      <alignment horizontal="right" vertical="center"/>
    </xf>
    <xf numFmtId="0" fontId="15" fillId="18" borderId="5" pivotButton="0" quotePrefix="0" xfId="0"/>
    <xf numFmtId="3" fontId="15" fillId="18" borderId="5" applyAlignment="1" pivotButton="0" quotePrefix="0" xfId="0">
      <alignment horizontal="right" vertical="center"/>
    </xf>
    <xf numFmtId="166" fontId="15" fillId="18" borderId="5" pivotButton="0" quotePrefix="0" xfId="0"/>
    <xf numFmtId="0" fontId="30" fillId="2" borderId="1" applyAlignment="1" pivotButton="0" quotePrefix="0" xfId="0">
      <alignment horizontal="left" vertical="center"/>
    </xf>
    <xf numFmtId="0" fontId="7" fillId="0" borderId="0" pivotButton="0" quotePrefix="0" xfId="0"/>
    <xf numFmtId="1" fontId="31" fillId="0" borderId="0" pivotButton="0" quotePrefix="0" xfId="0"/>
    <xf numFmtId="0" fontId="31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30" fillId="19" borderId="9" applyAlignment="1" pivotButton="0" quotePrefix="0" xfId="0">
      <alignment horizontal="left" vertical="center"/>
    </xf>
    <xf numFmtId="0" fontId="6" fillId="19" borderId="9" pivotButton="0" quotePrefix="0" xfId="0"/>
    <xf numFmtId="0" fontId="33" fillId="0" borderId="9" applyAlignment="1" pivotButton="0" quotePrefix="0" xfId="0">
      <alignment horizontal="center" vertical="center"/>
    </xf>
    <xf numFmtId="3" fontId="34" fillId="4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35" fillId="0" borderId="9" applyAlignment="1" pivotButton="0" quotePrefix="0" xfId="0">
      <alignment horizontal="right" vertical="center"/>
    </xf>
    <xf numFmtId="0" fontId="33" fillId="3" borderId="9" applyAlignment="1" pivotButton="0" quotePrefix="0" xfId="0">
      <alignment horizontal="center" vertical="center"/>
    </xf>
    <xf numFmtId="0" fontId="8" fillId="5" borderId="9" pivotButton="0" quotePrefix="0" xfId="0"/>
    <xf numFmtId="3" fontId="36" fillId="5" borderId="9" applyAlignment="1" pivotButton="0" quotePrefix="0" xfId="0">
      <alignment horizontal="right" vertical="center"/>
    </xf>
    <xf numFmtId="167" fontId="6" fillId="5" borderId="9" applyAlignment="1" pivotButton="0" quotePrefix="0" xfId="0">
      <alignment horizontal="right" vertical="center"/>
    </xf>
    <xf numFmtId="9" fontId="6" fillId="5" borderId="9" applyAlignment="1" pivotButton="0" quotePrefix="0" xfId="0">
      <alignment horizontal="right" vertical="center"/>
    </xf>
    <xf numFmtId="0" fontId="8" fillId="3" borderId="9" pivotButton="0" quotePrefix="0" xfId="0"/>
    <xf numFmtId="3" fontId="36" fillId="3" borderId="9" applyAlignment="1" pivotButton="0" quotePrefix="0" xfId="0">
      <alignment horizontal="right" vertical="center"/>
    </xf>
    <xf numFmtId="167" fontId="6" fillId="3" borderId="9" applyAlignment="1" pivotButton="0" quotePrefix="0" xfId="0">
      <alignment horizontal="right" vertical="center"/>
    </xf>
    <xf numFmtId="9" fontId="6" fillId="3" borderId="9" applyAlignment="1" pivotButton="0" quotePrefix="0" xfId="0">
      <alignment horizontal="right" vertical="center"/>
    </xf>
    <xf numFmtId="168" fontId="35" fillId="0" borderId="9" applyAlignment="1" pivotButton="0" quotePrefix="0" xfId="0">
      <alignment horizontal="right" vertical="center"/>
    </xf>
    <xf numFmtId="0" fontId="3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9" fontId="19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36" fillId="0" borderId="0" applyAlignment="1" pivotButton="0" quotePrefix="0" xfId="0">
      <alignment horizontal="right" vertical="center"/>
    </xf>
    <xf numFmtId="3" fontId="19" fillId="0" borderId="0" applyAlignment="1" pivotButton="0" quotePrefix="0" xfId="0">
      <alignment horizontal="right" vertical="center"/>
    </xf>
    <xf numFmtId="167" fontId="15" fillId="18" borderId="5" applyAlignment="1" pivotButton="0" quotePrefix="0" xfId="0">
      <alignment horizontal="right" vertical="center"/>
    </xf>
    <xf numFmtId="0" fontId="0" fillId="0" borderId="0" pivotButton="0" quotePrefix="0" xfId="0"/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/>
    </xf>
    <xf numFmtId="0" fontId="4" fillId="4" borderId="5" applyAlignment="1" pivotButton="0" quotePrefix="0" xfId="0">
      <alignment horizontal="left" vertical="center"/>
    </xf>
    <xf numFmtId="0" fontId="0" fillId="0" borderId="8" pivotButton="0" quotePrefix="0" xfId="0"/>
    <xf numFmtId="0" fontId="9" fillId="3" borderId="9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38" fillId="2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2" borderId="5" applyAlignment="1" pivotButton="0" quotePrefix="0" xfId="0">
      <alignment horizontal="left" vertical="center"/>
    </xf>
    <xf numFmtId="0" fontId="40" fillId="23" borderId="0" applyAlignment="1" pivotButton="0" quotePrefix="0" xfId="0">
      <alignment horizontal="center" vertical="center" wrapText="1"/>
    </xf>
    <xf numFmtId="0" fontId="0" fillId="23" borderId="0" pivotButton="0" quotePrefix="0" xfId="0"/>
    <xf numFmtId="0" fontId="39" fillId="22" borderId="0" pivotButton="0" quotePrefix="0" xfId="0"/>
    <xf numFmtId="0" fontId="41" fillId="20" borderId="0" applyAlignment="1" pivotButton="0" quotePrefix="0" xfId="0">
      <alignment horizontal="center" vertical="center" wrapText="1"/>
    </xf>
    <xf numFmtId="0" fontId="42" fillId="21" borderId="0" applyAlignment="1" pivotButton="0" quotePrefix="0" xfId="0">
      <alignment horizontal="left" vertical="center" indent="1"/>
    </xf>
    <xf numFmtId="9" fontId="42" fillId="21" borderId="0" applyAlignment="1" pivotButton="0" quotePrefix="0" xfId="0">
      <alignment horizontal="center" vertical="center" wrapText="1"/>
    </xf>
    <xf numFmtId="3" fontId="42" fillId="21" borderId="0" applyAlignment="1" pivotButton="0" quotePrefix="0" xfId="0">
      <alignment horizontal="right" vertical="center"/>
    </xf>
    <xf numFmtId="0" fontId="42" fillId="22" borderId="0" applyAlignment="1" pivotButton="0" quotePrefix="0" xfId="0">
      <alignment horizontal="left" vertical="center" indent="1"/>
    </xf>
    <xf numFmtId="9" fontId="42" fillId="22" borderId="0" applyAlignment="1" pivotButton="0" quotePrefix="0" xfId="0">
      <alignment horizontal="center" vertical="center" wrapText="1"/>
    </xf>
    <xf numFmtId="3" fontId="42" fillId="22" borderId="0" applyAlignment="1" pivotButton="0" quotePrefix="0" xfId="0">
      <alignment horizontal="right" vertical="center"/>
    </xf>
    <xf numFmtId="0" fontId="41" fillId="23" borderId="0" applyAlignment="1" pivotButton="0" quotePrefix="0" xfId="0">
      <alignment horizontal="center" vertical="center" wrapText="1"/>
    </xf>
    <xf numFmtId="9" fontId="41" fillId="23" borderId="0" applyAlignment="1" pivotButton="0" quotePrefix="0" xfId="0">
      <alignment horizontal="right" vertical="center"/>
    </xf>
    <xf numFmtId="3" fontId="41" fillId="23" borderId="0" applyAlignment="1" pivotButton="0" quotePrefix="0" xfId="0">
      <alignment horizontal="right" vertical="center"/>
    </xf>
    <xf numFmtId="0" fontId="39" fillId="23" borderId="0" pivotButton="0" quotePrefix="0" xfId="0"/>
    <xf numFmtId="0" fontId="41" fillId="23" borderId="0" pivotButton="0" quotePrefix="0" xfId="0"/>
  </cellXfs>
  <cellStyles count="1">
    <cellStyle name="Normal" xfId="0" builtinId="0"/>
  </cellStyles>
  <dxfs count="3">
    <dxf>
      <font>
        <name val="Calibri"/>
        <color rgb="FF9C0006"/>
        <sz val="11"/>
      </font>
      <fill>
        <patternFill patternType="solid">
          <fgColor rgb="FFFFC7CE"/>
        </patternFill>
      </fill>
    </dxf>
    <dxf>
      <font>
        <name val="Calibri"/>
        <color rgb="FF7D6608"/>
        <sz val="11"/>
      </font>
      <fill>
        <patternFill patternType="solid">
          <fgColor rgb="FFFFEB9C"/>
        </patternFill>
      </fill>
    </dxf>
    <dxf>
      <font>
        <name val="Calibri"/>
        <color rgb="FF276221"/>
        <sz val="11"/>
      </font>
      <fill>
        <patternFill patternType="solid">
          <f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14" min="1" max="1"/>
    <col width="22" customWidth="1" style="114" min="2" max="2"/>
    <col width="28" customWidth="1" style="114" min="3" max="3"/>
    <col width="4" customWidth="1" style="114" min="4" max="4"/>
    <col width="22" customWidth="1" style="114" min="5" max="5"/>
    <col width="28" customWidth="1" style="114" min="6" max="6"/>
    <col width="8.710000000000001" customWidth="1" style="114" min="7" max="26"/>
  </cols>
  <sheetData>
    <row r="1" ht="7.5" customHeight="1" s="114"/>
    <row r="2" ht="37.5" customHeight="1" s="114">
      <c r="A2" s="115" t="inlineStr">
        <is>
          <t>📖  Workbook Guide  —  What everything means and how to use it</t>
        </is>
      </c>
    </row>
    <row r="3" ht="6" customHeight="1" s="114"/>
    <row r="4" ht="19.5" customHeight="1" s="114">
      <c r="A4" s="116" t="inlineStr">
        <is>
          <t xml:space="preserve">  Sheets in this workbook:   📖 Guide  →  📋 MasterData  →  📅 Monthly Summary  →  📊 Dashboard  →  🔧 Lists</t>
        </is>
      </c>
    </row>
    <row r="5" ht="9.75" customHeight="1" s="114"/>
    <row r="6" ht="27.75" customHeight="1" s="114">
      <c r="A6" s="117" t="inlineStr">
        <is>
          <t xml:space="preserve">  📋  MasterData  —  every transaction you've logged, one row per entry</t>
        </is>
      </c>
    </row>
    <row r="7" ht="18" customHeight="1" s="114">
      <c r="B7" s="6" t="inlineStr">
        <is>
          <t>Column</t>
        </is>
      </c>
      <c r="C7" s="6" t="inlineStr">
        <is>
          <t>What it stores</t>
        </is>
      </c>
      <c r="D7" s="7" t="n"/>
      <c r="E7" s="6" t="inlineStr">
        <is>
          <t>Example value</t>
        </is>
      </c>
    </row>
    <row r="8" ht="30" customHeight="1" s="114">
      <c r="B8" s="8" t="inlineStr">
        <is>
          <t>Date</t>
        </is>
      </c>
      <c r="C8" s="9" t="inlineStr">
        <is>
          <t>The calendar date of the transaction.
Update this to the real day when you log it.</t>
        </is>
      </c>
      <c r="D8" s="7" t="n"/>
      <c r="E8" s="22" t="inlineStr">
        <is>
          <t>e.g. 2026-05-14  (not just month start)</t>
        </is>
      </c>
      <c r="F8" s="118" t="n"/>
    </row>
    <row r="9" ht="30" customHeight="1" s="114">
      <c r="B9" s="12" t="inlineStr">
        <is>
          <t>Year</t>
        </is>
      </c>
      <c r="C9" s="13" t="inlineStr">
        <is>
          <t>The year. Used by Dashboard filters.
Picked automatically from Date — don't edit.</t>
        </is>
      </c>
      <c r="D9" s="7" t="n"/>
      <c r="E9" s="22" t="inlineStr">
        <is>
          <t>e.g. 2026</t>
        </is>
      </c>
      <c r="F9" s="118" t="n"/>
    </row>
    <row r="10" ht="30" customHeight="1" s="114">
      <c r="B10" s="8" t="inlineStr">
        <is>
          <t>Month</t>
        </is>
      </c>
      <c r="C10" s="9" t="inlineStr">
        <is>
          <t>3-letter month abbreviation.
Used by Dashboard filters. Don't edit.</t>
        </is>
      </c>
      <c r="D10" s="7" t="n"/>
      <c r="E10" s="22" t="inlineStr">
        <is>
          <t>e.g. May</t>
        </is>
      </c>
      <c r="F10" s="118" t="n"/>
    </row>
    <row r="11" ht="30" customHeight="1" s="114">
      <c r="B11" s="12" t="inlineStr">
        <is>
          <t>Value</t>
        </is>
      </c>
      <c r="C11" s="13" t="inlineStr">
        <is>
          <t>Amount in PLN (always positive).
For expenses, income, and savings alike.</t>
        </is>
      </c>
      <c r="D11" s="7" t="n"/>
      <c r="E11" s="22" t="inlineStr">
        <is>
          <t>e.g. 3 200  (never negative)</t>
        </is>
      </c>
      <c r="F11" s="118" t="n"/>
    </row>
    <row r="12" ht="30" customHeight="1" s="114">
      <c r="B12" s="8" t="inlineStr">
        <is>
          <t>Type</t>
        </is>
      </c>
      <c r="C12" s="9" t="inlineStr">
        <is>
          <t>One of three choices:
• Expense — money going out
• Income — money coming in
• Savings — money moved to savings</t>
        </is>
      </c>
      <c r="D12" s="7" t="n"/>
      <c r="E12" s="22" t="inlineStr">
        <is>
          <t>Expense / Income / Savings</t>
        </is>
      </c>
      <c r="F12" s="118" t="n"/>
    </row>
    <row r="13" ht="30" customHeight="1" s="114">
      <c r="B13" s="12" t="inlineStr">
        <is>
          <t>Category</t>
        </is>
      </c>
      <c r="C13" s="13" t="inlineStr">
        <is>
          <t>What the money was spent on.
Pick from the dropdown — don't type freehand.
See the Lists sheet for all options.</t>
        </is>
      </c>
      <c r="D13" s="7" t="n"/>
      <c r="E13" s="22" t="inlineStr">
        <is>
          <t>e.g. Housing, Groceries, Children</t>
        </is>
      </c>
      <c r="F13" s="118" t="n"/>
    </row>
    <row r="14" ht="30" customHeight="1" s="114">
      <c r="B14" s="8" t="inlineStr">
        <is>
          <t>Person</t>
        </is>
      </c>
      <c r="C14" s="9" t="inlineStr">
        <is>
          <t>Who the expense was for.
Leave blank if it's a household expense.
Only fill in when it's clearly for one person.</t>
        </is>
      </c>
      <c r="D14" s="7" t="n"/>
      <c r="E14" s="22" t="inlineStr">
        <is>
          <t>e.g. Alice, Bob, Carol, Dave</t>
        </is>
      </c>
      <c r="F14" s="118" t="n"/>
    </row>
    <row r="15" ht="30" customHeight="1" s="114">
      <c r="B15" s="12" t="inlineStr">
        <is>
          <t>Description</t>
        </is>
      </c>
      <c r="C15" s="13" t="inlineStr">
        <is>
          <t>Free text note about the transaction.
Keep it short — 3-6 words is enough.</t>
        </is>
      </c>
      <c r="D15" s="7" t="n"/>
      <c r="E15" s="22" t="inlineStr">
        <is>
          <t>e.g. "Petrol", "VW insurance 3 months"</t>
        </is>
      </c>
      <c r="F15" s="118" t="n"/>
    </row>
    <row r="16" ht="30" customHeight="1" s="114">
      <c r="B16" s="8" t="inlineStr">
        <is>
          <t>IsRecurring</t>
        </is>
      </c>
      <c r="C16" s="9" t="inlineStr">
        <is>
          <t>TRUE = same expense every month (rent, loan, internet).
FALSE = one-off purchase.
Helps split fixed vs variable costs in reports.</t>
        </is>
      </c>
      <c r="D16" s="7" t="n"/>
      <c r="E16" s="22" t="inlineStr">
        <is>
          <t>TRUE for rent,  FALSE for a camera</t>
        </is>
      </c>
      <c r="F16" s="118" t="n"/>
    </row>
    <row r="17" ht="30" customHeight="1" s="114">
      <c r="B17" s="12" t="inlineStr">
        <is>
          <t>IsDone</t>
        </is>
      </c>
      <c r="C17" s="13" t="inlineStr">
        <is>
          <t>TRUE = transaction is confirmed and real.
FALSE = planned/pending — excluded from totals.
Leave TRUE for everything you've already paid.</t>
        </is>
      </c>
      <c r="D17" s="7" t="n"/>
      <c r="E17" s="22" t="inlineStr">
        <is>
          <t>TRUE  (FALSE only for future planned items)</t>
        </is>
      </c>
      <c r="F17" s="118" t="n"/>
    </row>
    <row r="18" ht="30" customHeight="1" s="114">
      <c r="B18" s="14" t="inlineStr">
        <is>
          <t>Currency</t>
        </is>
      </c>
      <c r="C18" s="15" t="inlineStr">
        <is>
          <t>Which currency this transaction was made in.
Default: PLN. Change to EUR, USD, etc. for foreign transactions.
Set the exchange rate in the Lists sheet (col G-H).</t>
        </is>
      </c>
      <c r="D18" s="7" t="n"/>
      <c r="E18" s="119" t="inlineStr">
        <is>
          <t>PLN (default) or EUR for a trip expense</t>
        </is>
      </c>
      <c r="F18" s="120" t="n"/>
    </row>
    <row r="19" ht="30" customHeight="1" s="114"/>
    <row r="20" ht="18" customHeight="1" s="114"/>
    <row r="21" ht="30" customHeight="1" s="114">
      <c r="A21" s="18" t="inlineStr">
        <is>
          <t xml:space="preserve">  📅  Monthly Summary  —  one row per month, auto-calculated from MasterData</t>
        </is>
      </c>
    </row>
    <row r="22" ht="30" customHeight="1" s="114">
      <c r="B22" s="6" t="inlineStr">
        <is>
          <t>Column</t>
        </is>
      </c>
      <c r="C22" s="6" t="inlineStr">
        <is>
          <t>What it shows</t>
        </is>
      </c>
      <c r="D22" s="7" t="n"/>
      <c r="E22" s="6" t="inlineStr">
        <is>
          <t>Example value</t>
        </is>
      </c>
      <c r="F22" s="121" t="n"/>
    </row>
    <row r="23" ht="30" customHeight="1" s="114">
      <c r="B23" s="20" t="inlineStr">
        <is>
          <t>Year / Month</t>
        </is>
      </c>
      <c r="C23" s="9" t="inlineStr">
        <is>
          <t>Identifies the period.
One row = one calendar month.</t>
        </is>
      </c>
      <c r="D23" s="7" t="n"/>
      <c r="E23" s="22" t="inlineStr">
        <is>
          <t>2025 / Nov</t>
        </is>
      </c>
      <c r="F23" s="118" t="n"/>
    </row>
    <row r="24" ht="30" customHeight="1" s="114">
      <c r="B24" s="21" t="inlineStr">
        <is>
          <t>Income</t>
        </is>
      </c>
      <c r="C24" s="13" t="inlineStr">
        <is>
          <t>Total of all Income-type rows for that month.</t>
        </is>
      </c>
      <c r="D24" s="7" t="n"/>
      <c r="E24" s="22" t="inlineStr">
        <is>
          <t>10 000 PLN (your salary + any extras)</t>
        </is>
      </c>
      <c r="F24" s="118" t="n"/>
    </row>
    <row r="25" ht="30" customHeight="1" s="114">
      <c r="B25" s="20" t="inlineStr">
        <is>
          <t>Expenses</t>
        </is>
      </c>
      <c r="C25" s="9" t="inlineStr">
        <is>
          <t>Total of all Expense-type rows for that month.</t>
        </is>
      </c>
      <c r="D25" s="7" t="n"/>
      <c r="E25" s="22" t="inlineStr">
        <is>
          <t>8 000 PLN</t>
        </is>
      </c>
      <c r="F25" s="118" t="n"/>
    </row>
    <row r="26" ht="30" customHeight="1" s="114">
      <c r="B26" s="21" t="inlineStr">
        <is>
          <t>Savings</t>
        </is>
      </c>
      <c r="C26" s="13" t="inlineStr">
        <is>
          <t>Total of all Savings-type rows for that month.</t>
        </is>
      </c>
      <c r="D26" s="7" t="n"/>
      <c r="E26" s="22" t="inlineStr">
        <is>
          <t>1 000 PLN</t>
        </is>
      </c>
      <c r="F26" s="118" t="n"/>
    </row>
    <row r="27" ht="12" customHeight="1" s="114">
      <c r="B27" s="20" t="inlineStr">
        <is>
          <t>Net</t>
        </is>
      </c>
      <c r="C27" s="9" t="inlineStr">
        <is>
          <t>Income − Expenses − Savings.
Should be 0 if everything is logged correctly.
Positive = unlogged income. Negative = unlogged expense.</t>
        </is>
      </c>
      <c r="D27" s="7" t="n"/>
      <c r="E27" s="22" t="inlineStr">
        <is>
          <t>−52 PLN  (small rounding gap — fine)</t>
        </is>
      </c>
      <c r="F27" s="23" t="n"/>
    </row>
    <row r="28" ht="27.75" customHeight="1" s="114"/>
    <row r="29" ht="18" customHeight="1" s="114"/>
    <row r="30" ht="30" customHeight="1" s="114">
      <c r="A30" s="24" t="inlineStr">
        <is>
          <t xml:space="preserve">  📊  Dashboard  —  change B2 (Year) and D2 (Month) to filter everything</t>
        </is>
      </c>
    </row>
    <row r="31" ht="30" customHeight="1" s="114">
      <c r="B31" s="6" t="inlineStr">
        <is>
          <t>Section / Field</t>
        </is>
      </c>
      <c r="C31" s="6" t="inlineStr">
        <is>
          <t>What it does</t>
        </is>
      </c>
      <c r="D31" s="7" t="n"/>
      <c r="E31" s="6" t="inlineStr">
        <is>
          <t>Example / tip</t>
        </is>
      </c>
      <c r="F31" s="121" t="n"/>
    </row>
    <row r="32" ht="30" customHeight="1" s="114">
      <c r="B32" s="25" t="inlineStr">
        <is>
          <t>B2 — Year filter</t>
        </is>
      </c>
      <c r="C32" s="9" t="inlineStr">
        <is>
          <t>Type or pick the year you want to view.
All period totals and category table update instantly.</t>
        </is>
      </c>
      <c r="D32" s="7" t="n"/>
      <c r="E32" s="22" t="inlineStr">
        <is>
          <t>Change to 2025 → all figures switch to 2025</t>
        </is>
      </c>
      <c r="F32" s="118" t="n"/>
    </row>
    <row r="33" ht="30" customHeight="1" s="114">
      <c r="B33" s="26" t="inlineStr">
        <is>
          <t>D2 — Month filter</t>
        </is>
      </c>
      <c r="C33" s="13" t="inlineStr">
        <is>
          <t>Pick a month to see that month only.
Leave blank (delete the value) to see the whole year.</t>
        </is>
      </c>
      <c r="D33" s="7" t="n"/>
      <c r="E33" s="22" t="inlineStr">
        <is>
          <t>Delete 'May' → shows full year 2026</t>
        </is>
      </c>
      <c r="F33" s="118" t="n"/>
    </row>
    <row r="34" ht="36" customHeight="1" s="114">
      <c r="B34" s="27" t="inlineStr">
        <is>
          <t>F2 — Display Currency</t>
        </is>
      </c>
      <c r="C34" s="15" t="inlineStr">
        <is>
          <t>Pick any currency — all Dashboard numbers convert instantly.
PLN = default (no conversion). Switch to EUR, AZN, etc. to see
everything in that currency using the rate from Lists sheet.</t>
        </is>
      </c>
      <c r="D34" s="7" t="n"/>
      <c r="E34" s="119" t="inlineStr">
        <is>
          <t>Change to AZN → income shows as ~1 500 EUR instead of 6 500 PLN</t>
        </is>
      </c>
      <c r="F34" s="120" t="n"/>
    </row>
    <row r="35" ht="30" customHeight="1" s="114">
      <c r="B35" s="25" t="inlineStr">
        <is>
          <t>All-Time Totals (row 6)</t>
        </is>
      </c>
      <c r="C35" s="9" t="inlineStr">
        <is>
          <t>Income / Expenses / Savings since you started tracking.
Ignores the Year/Month filter — always shows everything.</t>
        </is>
      </c>
      <c r="D35" s="7" t="n"/>
      <c r="E35" s="22" t="inlineStr">
        <is>
          <t>Total income logged: 250 000 PLN (example total)</t>
        </is>
      </c>
      <c r="F35" s="118" t="n"/>
    </row>
    <row r="36" ht="30" customHeight="1" s="114">
      <c r="B36" s="26" t="inlineStr">
        <is>
          <t>Selected Period (rows 10–15)</t>
        </is>
      </c>
      <c r="C36" s="13" t="inlineStr">
        <is>
          <t>Income, Expenses, Savings for the chosen Year+Month.
Net = Income − Expenses − Savings (should be near 0).
Savings Rate = Savings ÷ Income.</t>
        </is>
      </c>
      <c r="D36" s="7" t="n"/>
      <c r="E36" s="22" t="inlineStr">
        <is>
          <t>May 2026: Income 12 000,  Expenses 7 000,  Savings 5 000</t>
        </is>
      </c>
      <c r="F36" s="118" t="n"/>
    </row>
    <row r="37" ht="12" customHeight="1" s="114">
      <c r="B37" s="25" t="inlineStr">
        <is>
          <t>⚠ Check row</t>
        </is>
      </c>
      <c r="C37" s="9" t="inlineStr">
        <is>
          <t>Tells you if the numbers don't add up.
'✓ Balanced' = good.  Any other message = a transaction is missing or double-counted.</t>
        </is>
      </c>
      <c r="D37" s="7" t="n"/>
      <c r="E37" s="22" t="inlineStr">
        <is>
          <t>'Overreported: 194 PLN' → find the duplicate</t>
        </is>
      </c>
      <c r="F37" s="23" t="n"/>
    </row>
    <row r="38" ht="27.75" customHeight="1" s="114">
      <c r="A38" s="26" t="inlineStr">
        <is>
          <t>Budget vs Actual table (H–L)</t>
        </is>
      </c>
      <c r="B38" s="122" t="n"/>
      <c r="C38" s="122" t="n"/>
      <c r="D38" s="122" t="n"/>
      <c r="E38" s="122" t="n"/>
      <c r="F38" s="118" t="n"/>
    </row>
    <row r="39" ht="18" customHeight="1" s="114"/>
    <row r="40" ht="30" customHeight="1" s="114"/>
    <row r="41" ht="30" customHeight="1" s="114">
      <c r="A41" s="30" t="inlineStr">
        <is>
          <t xml:space="preserve">  🔧  Lists  —  the reference data that powers all dropdowns</t>
        </is>
      </c>
    </row>
    <row r="42" ht="30" customHeight="1" s="114">
      <c r="B42" s="6" t="inlineStr">
        <is>
          <t>Column</t>
        </is>
      </c>
      <c r="C42" s="6" t="inlineStr">
        <is>
          <t>What it controls</t>
        </is>
      </c>
      <c r="D42" s="7" t="n"/>
      <c r="E42" s="6" t="inlineStr">
        <is>
          <t>How to update</t>
        </is>
      </c>
      <c r="F42" s="121" t="n"/>
    </row>
    <row r="43" ht="30" customHeight="1" s="114">
      <c r="B43" s="31" t="inlineStr">
        <is>
          <t>Months  (col A)</t>
        </is>
      </c>
      <c r="C43" s="9" t="inlineStr">
        <is>
          <t>The 12 month abbreviations used in MasterData Month column and Dashboard filter.</t>
        </is>
      </c>
      <c r="D43" s="7" t="n"/>
      <c r="E43" s="22" t="inlineStr">
        <is>
          <t>Don't edit — these must stay Jan..Dec</t>
        </is>
      </c>
      <c r="F43" s="118" t="n"/>
    </row>
    <row r="44" ht="30" customHeight="1" s="114">
      <c r="B44" s="32" t="inlineStr">
        <is>
          <t>TxnTypes  (col B)</t>
        </is>
      </c>
      <c r="C44" s="13" t="inlineStr">
        <is>
          <t>The three transaction types: Expense, Income, Savings.
Used by the Type dropdown in MasterData.</t>
        </is>
      </c>
      <c r="D44" s="7" t="n"/>
      <c r="E44" s="22" t="inlineStr">
        <is>
          <t>Don't edit — the formulas depend on exact spelling</t>
        </is>
      </c>
      <c r="F44" s="118" t="n"/>
    </row>
    <row r="45" ht="12" customHeight="1" s="114">
      <c r="B45" s="31" t="inlineStr">
        <is>
          <t>Categories  (col C)</t>
        </is>
      </c>
      <c r="C45" s="9" t="inlineStr">
        <is>
          <t>All spending categories available in the MasterData Category dropdown.
Add a new row here to add a new category everywhere.</t>
        </is>
      </c>
      <c r="D45" s="7" t="n"/>
      <c r="E45" s="22" t="inlineStr">
        <is>
          <t>To add 'Pet care': type it in C19, then update Dashboard budget table</t>
        </is>
      </c>
      <c r="F45" s="23" t="n"/>
    </row>
    <row r="46" ht="24" customHeight="1" s="114">
      <c r="A46" s="32" t="inlineStr">
        <is>
          <t>Persons  (col D)</t>
        </is>
      </c>
      <c r="B46" s="122" t="n"/>
      <c r="C46" s="122" t="n"/>
      <c r="D46" s="122" t="n"/>
      <c r="E46" s="122" t="n"/>
      <c r="F46" s="118" t="n"/>
    </row>
    <row r="47" ht="30" customHeight="1" s="114"/>
    <row r="48" ht="30" customHeight="1" s="114"/>
    <row r="49" ht="30" customHeight="1" s="114">
      <c r="A49" s="34" t="inlineStr">
        <is>
          <t xml:space="preserve">  💡  Quick Tips</t>
        </is>
      </c>
    </row>
    <row r="50" ht="30" customHeight="1" s="114">
      <c r="B50" s="35" t="inlineStr">
        <is>
          <t>Adding a new transaction</t>
        </is>
      </c>
      <c r="C50" s="9" t="inlineStr">
        <is>
          <t>Go to MasterData → scroll to the bottom → fill in the next empty row.
Use the dropdowns for Type, Category, and Person — don't type freehand.</t>
        </is>
      </c>
      <c r="D50" s="7" t="n"/>
      <c r="E50" s="22" t="inlineStr">
        <is>
          <t>Set Date to the real day, not just the 1st of month</t>
        </is>
      </c>
      <c r="F50" s="118" t="n"/>
    </row>
    <row r="51" ht="19.5" customHeight="1" s="114">
      <c r="A51" s="37" t="inlineStr">
        <is>
          <t>Changing your monthly budget</t>
        </is>
      </c>
      <c r="B51" s="122" t="n"/>
      <c r="C51" s="122" t="n"/>
      <c r="D51" s="122" t="n"/>
      <c r="E51" s="122" t="n"/>
      <c r="F51" s="118" t="n"/>
    </row>
    <row r="52" ht="15.75" customHeight="1" s="114"/>
    <row r="53" ht="15.75" customHeight="1" s="114">
      <c r="B53" s="37" t="inlineStr">
        <is>
          <t>Adding a new savings goal</t>
        </is>
      </c>
      <c r="C53" s="13" t="inlineStr">
        <is>
          <t>Dashboard → rows 21-24 → add a row with goal name, % allocation, target.
Make sure the % column (B) still adds up to 100%.</t>
        </is>
      </c>
      <c r="D53" s="7" t="n"/>
      <c r="E53" s="22" t="inlineStr">
        <is>
          <t>Add 'Car' at 10% → reduce House from 60% to 50%</t>
        </is>
      </c>
      <c r="F53" s="23" t="n"/>
    </row>
    <row r="54" ht="15.75" customHeight="1" s="114">
      <c r="A54" s="38" t="inlineStr">
        <is>
          <t xml:space="preserve">  This sheet is read-only — all data lives in MasterData. Nothing here affects calculations.</t>
        </is>
      </c>
    </row>
    <row r="55" ht="15.75" customHeight="1" s="114"/>
    <row r="56" ht="15.75" customHeight="1" s="114"/>
    <row r="57" ht="15.75" customHeight="1" s="114"/>
    <row r="58" ht="15.75" customHeight="1" s="114"/>
    <row r="59" ht="15.75" customHeight="1" s="114"/>
    <row r="60" ht="15.75" customHeight="1" s="114"/>
    <row r="61" ht="15.75" customHeight="1" s="114"/>
    <row r="62" ht="15.75" customHeight="1" s="114"/>
    <row r="63" ht="15.75" customHeight="1" s="114"/>
    <row r="64" ht="15.75" customHeight="1" s="114"/>
    <row r="65" ht="15.75" customHeight="1" s="114"/>
    <row r="66" ht="15.75" customHeight="1" s="114"/>
    <row r="67" ht="15.75" customHeight="1" s="114"/>
    <row r="68" ht="15.75" customHeight="1" s="114"/>
    <row r="69" ht="15.75" customHeight="1" s="114"/>
    <row r="70" ht="15.75" customHeight="1" s="114"/>
    <row r="71" ht="15.75" customHeight="1" s="114"/>
    <row r="72" ht="15.75" customHeight="1" s="114"/>
    <row r="73" ht="15.75" customHeight="1" s="114"/>
    <row r="74" ht="15.75" customHeight="1" s="114"/>
    <row r="75" ht="15.75" customHeight="1" s="114"/>
    <row r="76" ht="15.75" customHeight="1" s="114"/>
    <row r="77" ht="15.75" customHeight="1" s="114"/>
    <row r="78" ht="15.75" customHeight="1" s="114"/>
    <row r="79" ht="15.75" customHeight="1" s="114"/>
    <row r="80" ht="15.75" customHeight="1" s="114"/>
    <row r="81" ht="15.75" customHeight="1" s="114"/>
    <row r="82" ht="15.75" customHeight="1" s="114"/>
    <row r="83" ht="15.75" customHeight="1" s="114"/>
    <row r="84" ht="15.75" customHeight="1" s="114"/>
    <row r="85" ht="15.75" customHeight="1" s="114"/>
    <row r="86" ht="15.75" customHeight="1" s="114"/>
    <row r="87" ht="15.75" customHeight="1" s="114"/>
    <row r="88" ht="15.75" customHeight="1" s="114"/>
    <row r="89" ht="15.75" customHeight="1" s="114"/>
    <row r="90" ht="15.75" customHeight="1" s="114"/>
    <row r="91" ht="15.75" customHeight="1" s="114"/>
    <row r="92" ht="15.75" customHeight="1" s="114"/>
    <row r="93" ht="15.75" customHeight="1" s="114"/>
    <row r="94" ht="15.75" customHeight="1" s="114"/>
    <row r="95" ht="15.75" customHeight="1" s="114"/>
    <row r="96" ht="15.75" customHeight="1" s="114"/>
    <row r="97" ht="15.75" customHeight="1" s="114"/>
    <row r="98" ht="15.75" customHeight="1" s="114"/>
    <row r="99" ht="15.75" customHeight="1" s="114"/>
    <row r="100" ht="15.75" customHeight="1" s="114"/>
    <row r="101" ht="15.75" customHeight="1" s="114"/>
    <row r="102" ht="15.75" customHeight="1" s="114"/>
    <row r="103" ht="15.75" customHeight="1" s="114"/>
    <row r="104" ht="15.75" customHeight="1" s="114"/>
    <row r="105" ht="15.75" customHeight="1" s="114"/>
    <row r="106" ht="15.75" customHeight="1" s="114"/>
    <row r="107" ht="15.75" customHeight="1" s="114"/>
    <row r="108" ht="15.75" customHeight="1" s="114"/>
    <row r="109" ht="15.75" customHeight="1" s="114"/>
    <row r="110" ht="15.75" customHeight="1" s="114"/>
    <row r="111" ht="15.75" customHeight="1" s="114"/>
    <row r="112" ht="15.75" customHeight="1" s="114"/>
    <row r="113" ht="15.75" customHeight="1" s="114"/>
    <row r="114" ht="15.75" customHeight="1" s="114"/>
    <row r="115" ht="15.75" customHeight="1" s="114"/>
    <row r="116" ht="15.75" customHeight="1" s="114"/>
    <row r="117" ht="15.75" customHeight="1" s="114"/>
    <row r="118" ht="15.75" customHeight="1" s="114"/>
    <row r="119" ht="15.75" customHeight="1" s="114"/>
    <row r="120" ht="15.75" customHeight="1" s="114"/>
    <row r="121" ht="15.75" customHeight="1" s="114"/>
    <row r="122" ht="15.75" customHeight="1" s="114"/>
    <row r="123" ht="15.75" customHeight="1" s="114"/>
    <row r="124" ht="15.75" customHeight="1" s="114"/>
    <row r="125" ht="15.75" customHeight="1" s="114"/>
    <row r="126" ht="15.75" customHeight="1" s="114"/>
    <row r="127" ht="15.75" customHeight="1" s="114"/>
    <row r="128" ht="15.75" customHeight="1" s="114"/>
    <row r="129" ht="15.75" customHeight="1" s="114"/>
    <row r="130" ht="15.75" customHeight="1" s="114"/>
    <row r="131" ht="15.75" customHeight="1" s="114"/>
    <row r="132" ht="15.75" customHeight="1" s="114"/>
    <row r="133" ht="15.75" customHeight="1" s="114"/>
    <row r="134" ht="15.75" customHeight="1" s="114"/>
    <row r="135" ht="15.75" customHeight="1" s="114"/>
    <row r="136" ht="15.75" customHeight="1" s="114"/>
    <row r="137" ht="15.75" customHeight="1" s="114"/>
    <row r="138" ht="15.75" customHeight="1" s="114"/>
    <row r="139" ht="15.75" customHeight="1" s="114"/>
    <row r="140" ht="15.75" customHeight="1" s="114"/>
    <row r="141" ht="15.75" customHeight="1" s="114"/>
    <row r="142" ht="15.75" customHeight="1" s="114"/>
    <row r="143" ht="15.75" customHeight="1" s="114"/>
    <row r="144" ht="15.75" customHeight="1" s="114"/>
    <row r="145" ht="15.75" customHeight="1" s="114"/>
    <row r="146" ht="15.75" customHeight="1" s="114"/>
    <row r="147" ht="15.75" customHeight="1" s="114"/>
    <row r="148" ht="15.75" customHeight="1" s="114"/>
    <row r="149" ht="15.75" customHeight="1" s="114"/>
    <row r="150" ht="15.75" customHeight="1" s="114"/>
    <row r="151" ht="15.75" customHeight="1" s="114"/>
    <row r="152" ht="15.75" customHeight="1" s="114"/>
    <row r="153" ht="15.75" customHeight="1" s="114"/>
    <row r="154" ht="15.75" customHeight="1" s="114"/>
    <row r="155" ht="15.75" customHeight="1" s="114"/>
    <row r="156" ht="15.75" customHeight="1" s="114"/>
    <row r="157" ht="15.75" customHeight="1" s="114"/>
    <row r="158" ht="15.75" customHeight="1" s="114"/>
    <row r="159" ht="15.75" customHeight="1" s="114"/>
    <row r="160" ht="15.75" customHeight="1" s="114"/>
    <row r="161" ht="15.75" customHeight="1" s="114"/>
    <row r="162" ht="15.75" customHeight="1" s="114"/>
    <row r="163" ht="15.75" customHeight="1" s="114"/>
    <row r="164" ht="15.75" customHeight="1" s="114"/>
    <row r="165" ht="15.75" customHeight="1" s="114"/>
    <row r="166" ht="15.75" customHeight="1" s="114"/>
    <row r="167" ht="15.75" customHeight="1" s="114"/>
    <row r="168" ht="15.75" customHeight="1" s="114"/>
    <row r="169" ht="15.75" customHeight="1" s="114"/>
    <row r="170" ht="15.75" customHeight="1" s="114"/>
    <row r="171" ht="15.75" customHeight="1" s="114"/>
    <row r="172" ht="15.75" customHeight="1" s="114"/>
    <row r="173" ht="15.75" customHeight="1" s="114"/>
    <row r="174" ht="15.75" customHeight="1" s="114"/>
    <row r="175" ht="15.75" customHeight="1" s="114"/>
    <row r="176" ht="15.75" customHeight="1" s="114"/>
    <row r="177" ht="15.75" customHeight="1" s="114"/>
    <row r="178" ht="15.75" customHeight="1" s="114"/>
    <row r="179" ht="15.75" customHeight="1" s="114"/>
    <row r="180" ht="15.75" customHeight="1" s="114"/>
    <row r="181" ht="15.75" customHeight="1" s="114"/>
    <row r="182" ht="15.75" customHeight="1" s="114"/>
    <row r="183" ht="15.75" customHeight="1" s="114"/>
    <row r="184" ht="15.75" customHeight="1" s="114"/>
    <row r="185" ht="15.75" customHeight="1" s="114"/>
    <row r="186" ht="15.75" customHeight="1" s="114"/>
    <row r="187" ht="15.75" customHeight="1" s="114"/>
    <row r="188" ht="15.75" customHeight="1" s="114"/>
    <row r="189" ht="15.75" customHeight="1" s="114"/>
    <row r="190" ht="15.75" customHeight="1" s="114"/>
    <row r="191" ht="15.75" customHeight="1" s="114"/>
    <row r="192" ht="15.75" customHeight="1" s="114"/>
    <row r="193" ht="15.75" customHeight="1" s="114"/>
    <row r="194" ht="15.75" customHeight="1" s="114"/>
    <row r="195" ht="15.75" customHeight="1" s="114"/>
    <row r="196" ht="15.75" customHeight="1" s="114"/>
    <row r="197" ht="15.75" customHeight="1" s="114"/>
    <row r="198" ht="15.75" customHeight="1" s="114"/>
    <row r="199" ht="15.75" customHeight="1" s="114"/>
    <row r="200" ht="15.75" customHeight="1" s="114"/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mergeCells count="41">
    <mergeCell ref="E43:F43"/>
    <mergeCell ref="E12:F12"/>
    <mergeCell ref="E50:F50"/>
    <mergeCell ref="A46:F46"/>
    <mergeCell ref="E24:F24"/>
    <mergeCell ref="E33:F33"/>
    <mergeCell ref="E42:F42"/>
    <mergeCell ref="E23:F23"/>
    <mergeCell ref="E14:F14"/>
    <mergeCell ref="E48:F48"/>
    <mergeCell ref="E17:F17"/>
    <mergeCell ref="E8:F8"/>
    <mergeCell ref="E44:F44"/>
    <mergeCell ref="A2:F2"/>
    <mergeCell ref="E35:F35"/>
    <mergeCell ref="E10:F10"/>
    <mergeCell ref="E13:F13"/>
    <mergeCell ref="A4:F4"/>
    <mergeCell ref="E40:F40"/>
    <mergeCell ref="E9:F9"/>
    <mergeCell ref="E31:F31"/>
    <mergeCell ref="A38:F38"/>
    <mergeCell ref="E34:F34"/>
    <mergeCell ref="A28:F28"/>
    <mergeCell ref="E30:F30"/>
    <mergeCell ref="E15:F15"/>
    <mergeCell ref="A19:F19"/>
    <mergeCell ref="E11:F11"/>
    <mergeCell ref="E49:F49"/>
    <mergeCell ref="E36:F36"/>
    <mergeCell ref="E26:F26"/>
    <mergeCell ref="A51:F51"/>
    <mergeCell ref="E16:F16"/>
    <mergeCell ref="E32:F32"/>
    <mergeCell ref="E25:F25"/>
    <mergeCell ref="E41:F41"/>
    <mergeCell ref="A6:F6"/>
    <mergeCell ref="E22:F22"/>
    <mergeCell ref="E18:F18"/>
    <mergeCell ref="E47:F47"/>
    <mergeCell ref="E21:F2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14" min="1" max="5"/>
    <col width="8.710000000000001" customWidth="1" style="114" min="6" max="6"/>
    <col width="12" customWidth="1" style="114" min="7" max="7"/>
    <col width="14" customWidth="1" style="114" min="8" max="8"/>
    <col width="8.710000000000001" customWidth="1" style="114" min="9" max="26"/>
    <col width="14" customWidth="1" style="114" min="12" max="12"/>
    <col width="14" customWidth="1" style="114" min="13" max="13"/>
    <col width="14" customWidth="1" style="114" min="14" max="14"/>
  </cols>
  <sheetData>
    <row r="1">
      <c r="A1" s="39" t="inlineStr">
        <is>
          <t>Months</t>
        </is>
      </c>
      <c r="B1" s="39" t="inlineStr">
        <is>
          <t>TxnTypes</t>
        </is>
      </c>
      <c r="C1" s="39" t="inlineStr">
        <is>
          <t>Categories</t>
        </is>
      </c>
      <c r="D1" s="0" t="inlineStr">
        <is>
          <t>Budget (base)</t>
        </is>
      </c>
      <c r="E1" s="39" t="inlineStr">
        <is>
          <t>Persons</t>
        </is>
      </c>
      <c r="F1" s="39" t="inlineStr">
        <is>
          <t>Years</t>
        </is>
      </c>
      <c r="G1" s="0" t="n"/>
      <c r="H1" s="40" t="inlineStr">
        <is>
          <t>Currency</t>
        </is>
      </c>
      <c r="I1" s="40" t="inlineStr">
        <is>
          <t>Rate to base</t>
        </is>
      </c>
      <c r="M1" s="123" t="inlineStr">
        <is>
          <t>Goal Name</t>
        </is>
      </c>
      <c r="N1" s="123" t="inlineStr">
        <is>
          <t>Alloc %</t>
        </is>
      </c>
      <c r="O1" s="123" t="inlineStr">
        <is>
          <t>Goal (PLN)</t>
        </is>
      </c>
    </row>
    <row r="2">
      <c r="A2" s="41" t="inlineStr">
        <is>
          <t>Jan</t>
        </is>
      </c>
      <c r="B2" s="41" t="inlineStr">
        <is>
          <t>Expense</t>
        </is>
      </c>
      <c r="C2" s="41" t="inlineStr">
        <is>
          <t>Groceries</t>
        </is>
      </c>
      <c r="E2" s="41" t="inlineStr">
        <is>
          <t>Person 1</t>
        </is>
      </c>
      <c r="F2" s="41" t="n">
        <v>2024</v>
      </c>
      <c r="H2" s="42" t="inlineStr">
        <is>
          <t>PLN</t>
        </is>
      </c>
      <c r="I2" s="43" t="n">
        <v>1</v>
      </c>
      <c r="M2" s="124" t="inlineStr">
        <is>
          <t>House</t>
        </is>
      </c>
      <c r="N2" s="124" t="n">
        <v>0.6</v>
      </c>
      <c r="O2" s="124" t="n">
        <v>0</v>
      </c>
    </row>
    <row r="3">
      <c r="A3" s="41" t="inlineStr">
        <is>
          <t>Feb</t>
        </is>
      </c>
      <c r="B3" s="41" t="inlineStr">
        <is>
          <t>Income</t>
        </is>
      </c>
      <c r="C3" s="41" t="inlineStr">
        <is>
          <t>Housing</t>
        </is>
      </c>
      <c r="E3" s="41" t="inlineStr">
        <is>
          <t>Person 2</t>
        </is>
      </c>
      <c r="F3" s="41" t="n">
        <v>2025</v>
      </c>
      <c r="H3" s="44" t="inlineStr">
        <is>
          <t>EUR</t>
        </is>
      </c>
      <c r="I3" s="45" t="n">
        <v>4.28</v>
      </c>
      <c r="M3" s="125" t="inlineStr">
        <is>
          <t>Rainy Day</t>
        </is>
      </c>
      <c r="N3" s="125" t="n">
        <v>0.3</v>
      </c>
      <c r="O3" s="125" t="n">
        <v>0</v>
      </c>
    </row>
    <row r="4">
      <c r="A4" s="41" t="inlineStr">
        <is>
          <t>Mar</t>
        </is>
      </c>
      <c r="B4" s="41" t="inlineStr">
        <is>
          <t>Savings</t>
        </is>
      </c>
      <c r="C4" s="41" t="inlineStr">
        <is>
          <t>Transport</t>
        </is>
      </c>
      <c r="E4" s="41" t="n"/>
      <c r="F4" s="41" t="n">
        <v>2026</v>
      </c>
      <c r="H4" s="42" t="inlineStr">
        <is>
          <t>USD</t>
        </is>
      </c>
      <c r="I4" s="46" t="n">
        <v>3.92</v>
      </c>
      <c r="M4" s="124" t="inlineStr">
        <is>
          <t>Other</t>
        </is>
      </c>
      <c r="N4" s="124" t="n">
        <v>0.1</v>
      </c>
      <c r="O4" s="124" t="n">
        <v>0</v>
      </c>
    </row>
    <row r="5">
      <c r="A5" s="41" t="inlineStr">
        <is>
          <t>Apr</t>
        </is>
      </c>
      <c r="C5" s="41" t="inlineStr">
        <is>
          <t>Utilities</t>
        </is>
      </c>
      <c r="E5" s="41" t="n"/>
      <c r="F5" s="41" t="n">
        <v>2027</v>
      </c>
      <c r="H5" s="44" t="inlineStr">
        <is>
          <t>GBP</t>
        </is>
      </c>
      <c r="I5" s="45" t="n">
        <v>4.98</v>
      </c>
    </row>
    <row r="6">
      <c r="A6" s="41" t="inlineStr">
        <is>
          <t>May</t>
        </is>
      </c>
      <c r="C6" s="41" t="inlineStr">
        <is>
          <t>Healthcare</t>
        </is>
      </c>
      <c r="H6" s="47" t="inlineStr">
        <is>
          <t>AZN</t>
        </is>
      </c>
      <c r="I6" s="46" t="n">
        <v>2.51</v>
      </c>
    </row>
    <row r="7">
      <c r="A7" s="41" t="inlineStr">
        <is>
          <t>Jun</t>
        </is>
      </c>
      <c r="C7" s="41" t="inlineStr">
        <is>
          <t>Entertainment</t>
        </is>
      </c>
      <c r="H7" s="48" t="inlineStr">
        <is>
          <t>CHF</t>
        </is>
      </c>
      <c r="I7" s="45" t="n">
        <v>4.41</v>
      </c>
    </row>
    <row r="8">
      <c r="A8" s="41" t="inlineStr">
        <is>
          <t>Jul</t>
        </is>
      </c>
      <c r="C8" s="41" t="inlineStr">
        <is>
          <t>Travel</t>
        </is>
      </c>
      <c r="H8" s="49" t="inlineStr">
        <is>
          <t>← edit blue rates</t>
        </is>
      </c>
    </row>
    <row r="9">
      <c r="A9" s="41" t="inlineStr">
        <is>
          <t>Aug</t>
        </is>
      </c>
      <c r="C9" s="41" t="inlineStr">
        <is>
          <t>Children</t>
        </is>
      </c>
    </row>
    <row r="10">
      <c r="A10" s="41" t="inlineStr">
        <is>
          <t>Sep</t>
        </is>
      </c>
      <c r="C10" s="41" t="inlineStr">
        <is>
          <t>Personal</t>
        </is>
      </c>
    </row>
    <row r="11">
      <c r="A11" s="41" t="inlineStr">
        <is>
          <t>Oct</t>
        </is>
      </c>
      <c r="C11" s="41" t="inlineStr">
        <is>
          <t>Shopping</t>
        </is>
      </c>
    </row>
    <row r="12">
      <c r="A12" s="41" t="inlineStr">
        <is>
          <t>Nov</t>
        </is>
      </c>
      <c r="C12" s="41" t="inlineStr">
        <is>
          <t>Insurance</t>
        </is>
      </c>
    </row>
    <row r="13">
      <c r="A13" s="41" t="inlineStr">
        <is>
          <t>Dec</t>
        </is>
      </c>
      <c r="C13" s="41" t="inlineStr">
        <is>
          <t>Loan</t>
        </is>
      </c>
    </row>
    <row r="14">
      <c r="C14" s="41" t="inlineStr">
        <is>
          <t>Investment</t>
        </is>
      </c>
    </row>
    <row r="15">
      <c r="C15" s="41" t="inlineStr">
        <is>
          <t>Government</t>
        </is>
      </c>
    </row>
    <row r="16">
      <c r="C16" s="41" t="inlineStr">
        <is>
          <t>Education</t>
        </is>
      </c>
    </row>
    <row r="17">
      <c r="C17" s="41" t="inlineStr">
        <is>
          <t>Subscriptions</t>
        </is>
      </c>
    </row>
    <row r="18">
      <c r="C18" s="41" t="inlineStr">
        <is>
          <t>Other</t>
        </is>
      </c>
    </row>
    <row r="19">
      <c r="C19" s="67" t="n"/>
    </row>
    <row r="20">
      <c r="C20" s="67" t="n"/>
    </row>
    <row r="21" ht="15.75" customHeight="1" s="114">
      <c r="C21" s="0" t="n"/>
    </row>
    <row r="22" ht="15.75" customHeight="1" s="114">
      <c r="C22" s="0" t="n"/>
    </row>
    <row r="23" ht="15.75" customHeight="1" s="114">
      <c r="C23" s="0" t="n"/>
    </row>
    <row r="24" ht="15.75" customHeight="1" s="114">
      <c r="C24" s="0" t="n"/>
    </row>
    <row r="25" ht="15.75" customHeight="1" s="114">
      <c r="C25" s="0" t="n"/>
    </row>
    <row r="26" ht="15.75" customHeight="1" s="114">
      <c r="C26" s="0" t="n"/>
    </row>
    <row r="27" ht="15.75" customHeight="1" s="114">
      <c r="C27" s="0" t="n"/>
    </row>
    <row r="28" ht="15.75" customHeight="1" s="114"/>
    <row r="29" ht="15.75" customHeight="1" s="114"/>
    <row r="30" ht="15.75" customHeight="1" s="114"/>
    <row r="31" ht="15.75" customHeight="1" s="114"/>
    <row r="32" ht="15.75" customHeight="1" s="114"/>
    <row r="33" ht="15.75" customHeight="1" s="114"/>
    <row r="34" ht="15.75" customHeight="1" s="114"/>
    <row r="35" ht="15.75" customHeight="1" s="114"/>
    <row r="36" ht="15.75" customHeight="1" s="114"/>
    <row r="37" ht="15.75" customHeight="1" s="114"/>
    <row r="38" ht="15.75" customHeight="1" s="114"/>
    <row r="39" ht="15.75" customHeight="1" s="114"/>
    <row r="40" ht="15.75" customHeight="1" s="114"/>
    <row r="41" ht="15.75" customHeight="1" s="114"/>
    <row r="42" ht="15.75" customHeight="1" s="114"/>
    <row r="43" ht="15.75" customHeight="1" s="114"/>
    <row r="44" ht="15.75" customHeight="1" s="114"/>
    <row r="45" ht="15.75" customHeight="1" s="114"/>
    <row r="46" ht="15.75" customHeight="1" s="114"/>
    <row r="47" ht="15.75" customHeight="1" s="114"/>
    <row r="48" ht="15.75" customHeight="1" s="114"/>
    <row r="49" ht="15.75" customHeight="1" s="114"/>
    <row r="50" ht="15.75" customHeight="1" s="114"/>
    <row r="51" ht="15.75" customHeight="1" s="114"/>
    <row r="52" ht="15.75" customHeight="1" s="114"/>
    <row r="53" ht="15.75" customHeight="1" s="114"/>
    <row r="54" ht="15.75" customHeight="1" s="114"/>
    <row r="55" ht="15.75" customHeight="1" s="114"/>
    <row r="56" ht="15.75" customHeight="1" s="114"/>
    <row r="57" ht="15.75" customHeight="1" s="114"/>
    <row r="58" ht="15.75" customHeight="1" s="114"/>
    <row r="59" ht="15.75" customHeight="1" s="114"/>
    <row r="60" ht="15.75" customHeight="1" s="114"/>
    <row r="61" ht="15.75" customHeight="1" s="114"/>
    <row r="62" ht="15.75" customHeight="1" s="114"/>
    <row r="63" ht="15.75" customHeight="1" s="114"/>
    <row r="64" ht="15.75" customHeight="1" s="114"/>
    <row r="65" ht="15.75" customHeight="1" s="114"/>
    <row r="66" ht="15.75" customHeight="1" s="114"/>
    <row r="67" ht="15.75" customHeight="1" s="114"/>
    <row r="68" ht="15.75" customHeight="1" s="114"/>
    <row r="69" ht="15.75" customHeight="1" s="114"/>
    <row r="70" ht="15.75" customHeight="1" s="114"/>
    <row r="71" ht="15.75" customHeight="1" s="114"/>
    <row r="72" ht="15.75" customHeight="1" s="114"/>
    <row r="73" ht="15.75" customHeight="1" s="114"/>
    <row r="74" ht="15.75" customHeight="1" s="114"/>
    <row r="75" ht="15.75" customHeight="1" s="114"/>
    <row r="76" ht="15.75" customHeight="1" s="114"/>
    <row r="77" ht="15.75" customHeight="1" s="114"/>
    <row r="78" ht="15.75" customHeight="1" s="114"/>
    <row r="79" ht="15.75" customHeight="1" s="114"/>
    <row r="80" ht="15.75" customHeight="1" s="114"/>
    <row r="81" ht="15.75" customHeight="1" s="114"/>
    <row r="82" ht="15.75" customHeight="1" s="114"/>
    <row r="83" ht="15.75" customHeight="1" s="114"/>
    <row r="84" ht="15.75" customHeight="1" s="114"/>
    <row r="85" ht="15.75" customHeight="1" s="114"/>
    <row r="86" ht="15.75" customHeight="1" s="114"/>
    <row r="87" ht="15.75" customHeight="1" s="114"/>
    <row r="88" ht="15.75" customHeight="1" s="114"/>
    <row r="89" ht="15.75" customHeight="1" s="114"/>
    <row r="90" ht="15.75" customHeight="1" s="114"/>
    <row r="91" ht="15.75" customHeight="1" s="114"/>
    <row r="92" ht="15.75" customHeight="1" s="114"/>
    <row r="93" ht="15.75" customHeight="1" s="114"/>
    <row r="94" ht="15.75" customHeight="1" s="114"/>
    <row r="95" ht="15.75" customHeight="1" s="114"/>
    <row r="96" ht="15.75" customHeight="1" s="114"/>
    <row r="97" ht="15.75" customHeight="1" s="114"/>
    <row r="98" ht="15.75" customHeight="1" s="114"/>
    <row r="99" ht="15.75" customHeight="1" s="114"/>
    <row r="100" ht="15.75" customHeight="1" s="114"/>
    <row r="101" ht="15.75" customHeight="1" s="114"/>
    <row r="102" ht="15.75" customHeight="1" s="114"/>
    <row r="103" ht="15.75" customHeight="1" s="114"/>
    <row r="104" ht="15.75" customHeight="1" s="114"/>
    <row r="105" ht="15.75" customHeight="1" s="114"/>
    <row r="106" ht="15.75" customHeight="1" s="114"/>
    <row r="107" ht="15.75" customHeight="1" s="114"/>
    <row r="108" ht="15.75" customHeight="1" s="114"/>
    <row r="109" ht="15.75" customHeight="1" s="114"/>
    <row r="110" ht="15.75" customHeight="1" s="114"/>
    <row r="111" ht="15.75" customHeight="1" s="114"/>
    <row r="112" ht="15.75" customHeight="1" s="114"/>
    <row r="113" ht="15.75" customHeight="1" s="114"/>
    <row r="114" ht="15.75" customHeight="1" s="114"/>
    <row r="115" ht="15.75" customHeight="1" s="114"/>
    <row r="116" ht="15.75" customHeight="1" s="114"/>
    <row r="117" ht="15.75" customHeight="1" s="114"/>
    <row r="118" ht="15.75" customHeight="1" s="114"/>
    <row r="119" ht="15.75" customHeight="1" s="114"/>
    <row r="120" ht="15.75" customHeight="1" s="114"/>
    <row r="121" ht="15.75" customHeight="1" s="114"/>
    <row r="122" ht="15.75" customHeight="1" s="114"/>
    <row r="123" ht="15.75" customHeight="1" s="114"/>
    <row r="124" ht="15.75" customHeight="1" s="114"/>
    <row r="125" ht="15.75" customHeight="1" s="114"/>
    <row r="126" ht="15.75" customHeight="1" s="114"/>
    <row r="127" ht="15.75" customHeight="1" s="114"/>
    <row r="128" ht="15.75" customHeight="1" s="114"/>
    <row r="129" ht="15.75" customHeight="1" s="114"/>
    <row r="130" ht="15.75" customHeight="1" s="114"/>
    <row r="131" ht="15.75" customHeight="1" s="114"/>
    <row r="132" ht="15.75" customHeight="1" s="114"/>
    <row r="133" ht="15.75" customHeight="1" s="114"/>
    <row r="134" ht="15.75" customHeight="1" s="114"/>
    <row r="135" ht="15.75" customHeight="1" s="114"/>
    <row r="136" ht="15.75" customHeight="1" s="114"/>
    <row r="137" ht="15.75" customHeight="1" s="114"/>
    <row r="138" ht="15.75" customHeight="1" s="114"/>
    <row r="139" ht="15.75" customHeight="1" s="114"/>
    <row r="140" ht="15.75" customHeight="1" s="114"/>
    <row r="141" ht="15.75" customHeight="1" s="114"/>
    <row r="142" ht="15.75" customHeight="1" s="114"/>
    <row r="143" ht="15.75" customHeight="1" s="114"/>
    <row r="144" ht="15.75" customHeight="1" s="114"/>
    <row r="145" ht="15.75" customHeight="1" s="114"/>
    <row r="146" ht="15.75" customHeight="1" s="114"/>
    <row r="147" ht="15.75" customHeight="1" s="114"/>
    <row r="148" ht="15.75" customHeight="1" s="114"/>
    <row r="149" ht="15.75" customHeight="1" s="114"/>
    <row r="150" ht="15.75" customHeight="1" s="114"/>
    <row r="151" ht="15.75" customHeight="1" s="114"/>
    <row r="152" ht="15.75" customHeight="1" s="114"/>
    <row r="153" ht="15.75" customHeight="1" s="114"/>
    <row r="154" ht="15.75" customHeight="1" s="114"/>
    <row r="155" ht="15.75" customHeight="1" s="114"/>
    <row r="156" ht="15.75" customHeight="1" s="114"/>
    <row r="157" ht="15.75" customHeight="1" s="114"/>
    <row r="158" ht="15.75" customHeight="1" s="114"/>
    <row r="159" ht="15.75" customHeight="1" s="114"/>
    <row r="160" ht="15.75" customHeight="1" s="114"/>
    <row r="161" ht="15.75" customHeight="1" s="114"/>
    <row r="162" ht="15.75" customHeight="1" s="114"/>
    <row r="163" ht="15.75" customHeight="1" s="114"/>
    <row r="164" ht="15.75" customHeight="1" s="114"/>
    <row r="165" ht="15.75" customHeight="1" s="114"/>
    <row r="166" ht="15.75" customHeight="1" s="114"/>
    <row r="167" ht="15.75" customHeight="1" s="114"/>
    <row r="168" ht="15.75" customHeight="1" s="114"/>
    <row r="169" ht="15.75" customHeight="1" s="114"/>
    <row r="170" ht="15.75" customHeight="1" s="114"/>
    <row r="171" ht="15.75" customHeight="1" s="114"/>
    <row r="172" ht="15.75" customHeight="1" s="114"/>
    <row r="173" ht="15.75" customHeight="1" s="114"/>
    <row r="174" ht="15.75" customHeight="1" s="114"/>
    <row r="175" ht="15.75" customHeight="1" s="114"/>
    <row r="176" ht="15.75" customHeight="1" s="114"/>
    <row r="177" ht="15.75" customHeight="1" s="114"/>
    <row r="178" ht="15.75" customHeight="1" s="114"/>
    <row r="179" ht="15.75" customHeight="1" s="114"/>
    <row r="180" ht="15.75" customHeight="1" s="114"/>
    <row r="181" ht="15.75" customHeight="1" s="114"/>
    <row r="182" ht="15.75" customHeight="1" s="114"/>
    <row r="183" ht="15.75" customHeight="1" s="114"/>
    <row r="184" ht="15.75" customHeight="1" s="114"/>
    <row r="185" ht="15.75" customHeight="1" s="114"/>
    <row r="186" ht="15.75" customHeight="1" s="114"/>
    <row r="187" ht="15.75" customHeight="1" s="114"/>
    <row r="188" ht="15.75" customHeight="1" s="114"/>
    <row r="189" ht="15.75" customHeight="1" s="114"/>
    <row r="190" ht="15.75" customHeight="1" s="114"/>
    <row r="191" ht="15.75" customHeight="1" s="114"/>
    <row r="192" ht="15.75" customHeight="1" s="114"/>
    <row r="193" ht="15.75" customHeight="1" s="114"/>
    <row r="194" ht="15.75" customHeight="1" s="114"/>
    <row r="195" ht="15.75" customHeight="1" s="114"/>
    <row r="196" ht="15.75" customHeight="1" s="114"/>
    <row r="197" ht="15.75" customHeight="1" s="114"/>
    <row r="198" ht="15.75" customHeight="1" s="114"/>
    <row r="199" ht="15.75" customHeight="1" s="114"/>
    <row r="200" ht="15.75" customHeight="1" s="114"/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14" min="1" max="1"/>
    <col width="8" customWidth="1" style="114" min="2" max="3"/>
    <col width="12" customWidth="1" style="114" min="4" max="4"/>
    <col width="10" customWidth="1" style="114" min="5" max="5"/>
    <col width="16" customWidth="1" style="114" min="6" max="6"/>
    <col width="10" customWidth="1" style="114" min="7" max="7"/>
    <col width="45" customWidth="1" style="114" min="8" max="8"/>
    <col width="12" customWidth="1" style="114" min="9" max="9"/>
    <col width="10" customWidth="1" style="114" min="10" max="11"/>
    <col width="14" customWidth="1" style="114" min="12" max="12"/>
    <col width="8.710000000000001" customWidth="1" style="114" min="13" max="26"/>
  </cols>
  <sheetData>
    <row r="1" ht="21.75" customHeight="1" s="114">
      <c r="A1" s="40" t="inlineStr">
        <is>
          <t>Date</t>
        </is>
      </c>
      <c r="B1" s="40" t="inlineStr">
        <is>
          <t>Year</t>
        </is>
      </c>
      <c r="C1" s="40" t="inlineStr">
        <is>
          <t>Month</t>
        </is>
      </c>
      <c r="D1" s="40" t="inlineStr">
        <is>
          <t>Value</t>
        </is>
      </c>
      <c r="E1" s="40" t="inlineStr">
        <is>
          <t>Type</t>
        </is>
      </c>
      <c r="F1" s="40" t="inlineStr">
        <is>
          <t>Category</t>
        </is>
      </c>
      <c r="G1" s="40" t="inlineStr">
        <is>
          <t>Person</t>
        </is>
      </c>
      <c r="H1" s="40" t="inlineStr">
        <is>
          <t>Description</t>
        </is>
      </c>
      <c r="I1" s="40" t="inlineStr">
        <is>
          <t>IsRecurring</t>
        </is>
      </c>
      <c r="J1" s="40" t="inlineStr">
        <is>
          <t>IsDone</t>
        </is>
      </c>
      <c r="K1" s="40" t="inlineStr">
        <is>
          <t>Currency</t>
        </is>
      </c>
      <c r="L1" s="40" t="inlineStr">
        <is>
          <t>Value (base)</t>
        </is>
      </c>
    </row>
    <row r="2">
      <c r="A2" s="51" t="n"/>
      <c r="B2" s="52" t="n"/>
      <c r="C2" s="52" t="n"/>
      <c r="D2" s="53" t="n"/>
      <c r="E2" s="54" t="n"/>
      <c r="F2" s="52" t="n"/>
      <c r="G2" s="52" t="n"/>
      <c r="H2" s="52" t="n"/>
      <c r="I2" s="52" t="n"/>
      <c r="J2" s="52" t="n"/>
      <c r="K2" s="55" t="n"/>
      <c r="L2" s="56" t="n"/>
    </row>
    <row r="3">
      <c r="A3" s="57" t="n"/>
      <c r="B3" s="58" t="n"/>
      <c r="C3" s="58" t="n"/>
      <c r="D3" s="64" t="n"/>
      <c r="E3" s="54" t="n"/>
      <c r="F3" s="58" t="n"/>
      <c r="G3" s="58" t="n"/>
      <c r="H3" s="58" t="n"/>
      <c r="I3" s="58" t="n"/>
      <c r="J3" s="58" t="n"/>
      <c r="K3" s="65" t="n"/>
      <c r="L3" s="61" t="n"/>
    </row>
    <row r="4">
      <c r="A4" s="51" t="n"/>
      <c r="B4" s="52" t="n"/>
      <c r="C4" s="52" t="n"/>
      <c r="D4" s="53" t="n"/>
      <c r="E4" s="54" t="n"/>
      <c r="F4" s="52" t="n"/>
      <c r="G4" s="52" t="n"/>
      <c r="H4" s="52" t="n"/>
      <c r="I4" s="52" t="n"/>
      <c r="J4" s="52" t="n"/>
      <c r="K4" s="55" t="n"/>
      <c r="L4" s="56" t="n"/>
    </row>
    <row r="5">
      <c r="A5" s="57" t="n"/>
      <c r="B5" s="58" t="n"/>
      <c r="C5" s="58" t="n"/>
      <c r="D5" s="64" t="n"/>
      <c r="E5" s="54" t="n"/>
      <c r="F5" s="58" t="n"/>
      <c r="G5" s="58" t="n"/>
      <c r="H5" s="58" t="n"/>
      <c r="I5" s="58" t="n"/>
      <c r="J5" s="58" t="n"/>
      <c r="K5" s="65" t="n"/>
      <c r="L5" s="61" t="n"/>
    </row>
    <row r="6">
      <c r="A6" s="51" t="n"/>
      <c r="B6" s="52" t="n"/>
      <c r="C6" s="52" t="n"/>
      <c r="D6" s="53" t="n"/>
      <c r="E6" s="54" t="n"/>
      <c r="F6" s="52" t="n"/>
      <c r="G6" s="52" t="n"/>
      <c r="H6" s="52" t="n"/>
      <c r="I6" s="52" t="n"/>
      <c r="J6" s="52" t="n"/>
      <c r="K6" s="55" t="n"/>
      <c r="L6" s="56" t="n"/>
    </row>
    <row r="7">
      <c r="A7" s="57" t="n"/>
      <c r="B7" s="58" t="n"/>
      <c r="C7" s="58" t="n"/>
      <c r="D7" s="64" t="n"/>
      <c r="E7" s="54" t="n"/>
      <c r="F7" s="58" t="n"/>
      <c r="G7" s="58" t="n"/>
      <c r="H7" s="58" t="n"/>
      <c r="I7" s="58" t="n"/>
      <c r="J7" s="58" t="n"/>
      <c r="K7" s="65" t="n"/>
      <c r="L7" s="61" t="n"/>
    </row>
    <row r="8">
      <c r="A8" s="51" t="n"/>
      <c r="B8" s="52" t="n"/>
      <c r="C8" s="52" t="n"/>
      <c r="D8" s="53" t="n"/>
      <c r="E8" s="54" t="n"/>
      <c r="F8" s="52" t="n"/>
      <c r="G8" s="52" t="n"/>
      <c r="H8" s="52" t="n"/>
      <c r="I8" s="52" t="n"/>
      <c r="J8" s="52" t="n"/>
      <c r="K8" s="55" t="n"/>
      <c r="L8" s="56" t="n"/>
    </row>
    <row r="9">
      <c r="A9" s="57" t="n"/>
      <c r="B9" s="58" t="n"/>
      <c r="C9" s="58" t="n"/>
      <c r="D9" s="64" t="n"/>
      <c r="E9" s="62" t="n"/>
      <c r="F9" s="58" t="n"/>
      <c r="G9" s="58" t="n"/>
      <c r="H9" s="58" t="n"/>
      <c r="I9" s="58" t="n"/>
      <c r="J9" s="58" t="n"/>
      <c r="K9" s="65" t="n"/>
      <c r="L9" s="61" t="n"/>
    </row>
    <row r="10">
      <c r="A10" s="51" t="n"/>
      <c r="B10" s="52" t="n"/>
      <c r="C10" s="52" t="n"/>
      <c r="D10" s="53" t="n"/>
      <c r="E10" s="63" t="n"/>
      <c r="F10" s="52" t="n"/>
      <c r="G10" s="52" t="n"/>
      <c r="H10" s="52" t="n"/>
      <c r="I10" s="52" t="n"/>
      <c r="J10" s="52" t="n"/>
      <c r="K10" s="55" t="n"/>
      <c r="L10" s="56" t="n"/>
    </row>
    <row r="11">
      <c r="A11" s="57" t="n"/>
      <c r="B11" s="58" t="n"/>
      <c r="C11" s="58" t="n"/>
      <c r="D11" s="64" t="n"/>
      <c r="E11" s="54" t="n"/>
      <c r="F11" s="58" t="n"/>
      <c r="G11" s="58" t="n"/>
      <c r="H11" s="58" t="n"/>
      <c r="I11" s="58" t="n"/>
      <c r="J11" s="58" t="n"/>
      <c r="K11" s="65" t="n"/>
      <c r="L11" s="61" t="n"/>
    </row>
    <row r="12">
      <c r="A12" s="51" t="n"/>
      <c r="B12" s="52" t="n"/>
      <c r="C12" s="52" t="n"/>
      <c r="D12" s="53" t="n"/>
      <c r="E12" s="54" t="n"/>
      <c r="F12" s="52" t="n"/>
      <c r="G12" s="52" t="n"/>
      <c r="H12" s="52" t="n"/>
      <c r="I12" s="52" t="n"/>
      <c r="J12" s="52" t="n"/>
      <c r="K12" s="55" t="n"/>
      <c r="L12" s="56" t="n"/>
    </row>
    <row r="13">
      <c r="A13" s="57" t="n"/>
      <c r="B13" s="58" t="n"/>
      <c r="C13" s="58" t="n"/>
      <c r="D13" s="64" t="n"/>
      <c r="E13" s="54" t="n"/>
      <c r="F13" s="58" t="n"/>
      <c r="G13" s="58" t="n"/>
      <c r="H13" s="58" t="n"/>
      <c r="I13" s="58" t="n"/>
      <c r="J13" s="58" t="n"/>
      <c r="K13" s="65" t="n"/>
      <c r="L13" s="61" t="n"/>
    </row>
    <row r="14">
      <c r="A14" s="51" t="n"/>
      <c r="B14" s="52" t="n"/>
      <c r="C14" s="52" t="n"/>
      <c r="D14" s="53" t="n"/>
      <c r="E14" s="54" t="n"/>
      <c r="F14" s="52" t="n"/>
      <c r="G14" s="52" t="n"/>
      <c r="H14" s="52" t="n"/>
      <c r="I14" s="52" t="n"/>
      <c r="J14" s="52" t="n"/>
      <c r="K14" s="55" t="n"/>
      <c r="L14" s="56" t="n"/>
    </row>
    <row r="15">
      <c r="A15" s="57" t="n"/>
      <c r="B15" s="58" t="n"/>
      <c r="C15" s="58" t="n"/>
      <c r="D15" s="64" t="n"/>
      <c r="E15" s="54" t="n"/>
      <c r="F15" s="58" t="n"/>
      <c r="G15" s="58" t="n"/>
      <c r="H15" s="58" t="n"/>
      <c r="I15" s="58" t="n"/>
      <c r="J15" s="58" t="n"/>
      <c r="K15" s="65" t="n"/>
      <c r="L15" s="61" t="n"/>
    </row>
    <row r="16">
      <c r="A16" s="51" t="n"/>
      <c r="B16" s="52" t="n"/>
      <c r="C16" s="52" t="n"/>
      <c r="D16" s="53" t="n"/>
      <c r="E16" s="54" t="n"/>
      <c r="F16" s="52" t="n"/>
      <c r="G16" s="52" t="n"/>
      <c r="H16" s="52" t="n"/>
      <c r="I16" s="52" t="n"/>
      <c r="J16" s="52" t="n"/>
      <c r="K16" s="55" t="n"/>
      <c r="L16" s="56" t="n"/>
    </row>
    <row r="17">
      <c r="A17" s="57" t="n"/>
      <c r="B17" s="58" t="n"/>
      <c r="C17" s="58" t="n"/>
      <c r="D17" s="64" t="n"/>
      <c r="E17" s="54" t="n"/>
      <c r="F17" s="58" t="n"/>
      <c r="G17" s="58" t="n"/>
      <c r="H17" s="58" t="n"/>
      <c r="I17" s="58" t="n"/>
      <c r="J17" s="58" t="n"/>
      <c r="K17" s="65" t="n"/>
      <c r="L17" s="61" t="n"/>
    </row>
    <row r="18">
      <c r="A18" s="51" t="n"/>
      <c r="B18" s="52" t="n"/>
      <c r="C18" s="52" t="n"/>
      <c r="D18" s="53" t="n"/>
      <c r="E18" s="62" t="n"/>
      <c r="F18" s="52" t="n"/>
      <c r="G18" s="52" t="n"/>
      <c r="H18" s="52" t="n"/>
      <c r="I18" s="52" t="n"/>
      <c r="J18" s="52" t="n"/>
      <c r="K18" s="55" t="n"/>
      <c r="L18" s="56" t="n"/>
    </row>
    <row r="19">
      <c r="A19" s="57" t="n"/>
      <c r="B19" s="58" t="n"/>
      <c r="C19" s="58" t="n"/>
      <c r="D19" s="64" t="n"/>
      <c r="E19" s="62" t="n"/>
      <c r="F19" s="58" t="n"/>
      <c r="G19" s="58" t="n"/>
      <c r="H19" s="58" t="n"/>
      <c r="I19" s="58" t="n"/>
      <c r="J19" s="58" t="n"/>
      <c r="K19" s="65" t="n"/>
      <c r="L19" s="61" t="n"/>
    </row>
    <row r="20">
      <c r="A20" s="51" t="n"/>
      <c r="B20" s="52" t="n"/>
      <c r="C20" s="52" t="n"/>
      <c r="D20" s="53" t="n"/>
      <c r="E20" s="63" t="n"/>
      <c r="F20" s="52" t="n"/>
      <c r="G20" s="52" t="n"/>
      <c r="H20" s="52" t="n"/>
      <c r="I20" s="52" t="n"/>
      <c r="J20" s="52" t="n"/>
      <c r="K20" s="55" t="n"/>
      <c r="L20" s="56" t="n"/>
    </row>
    <row r="21" ht="15.75" customHeight="1" s="114">
      <c r="A21" s="57" t="n"/>
      <c r="B21" s="58" t="n"/>
      <c r="C21" s="58" t="n"/>
      <c r="D21" s="64" t="n"/>
      <c r="E21" s="54" t="n"/>
      <c r="F21" s="58" t="n"/>
      <c r="G21" s="58" t="n"/>
      <c r="H21" s="58" t="n"/>
      <c r="I21" s="58" t="n"/>
      <c r="J21" s="58" t="n"/>
      <c r="K21" s="65" t="n"/>
      <c r="L21" s="61" t="n"/>
    </row>
    <row r="22" ht="15.75" customHeight="1" s="114">
      <c r="A22" s="51" t="n"/>
      <c r="B22" s="52" t="n"/>
      <c r="C22" s="52" t="n"/>
      <c r="D22" s="53" t="n"/>
      <c r="E22" s="54" t="n"/>
      <c r="F22" s="52" t="n"/>
      <c r="G22" s="52" t="n"/>
      <c r="H22" s="52" t="n"/>
      <c r="I22" s="52" t="n"/>
      <c r="J22" s="52" t="n"/>
      <c r="K22" s="55" t="n"/>
      <c r="L22" s="56" t="n"/>
    </row>
    <row r="23" ht="15.75" customHeight="1" s="114">
      <c r="A23" s="57" t="n"/>
      <c r="B23" s="58" t="n"/>
      <c r="C23" s="58" t="n"/>
      <c r="D23" s="64" t="n"/>
      <c r="E23" s="63" t="n"/>
      <c r="F23" s="58" t="n"/>
      <c r="G23" s="58" t="n"/>
      <c r="H23" s="58" t="n"/>
      <c r="I23" s="58" t="n"/>
      <c r="J23" s="58" t="n"/>
      <c r="K23" s="65" t="n"/>
      <c r="L23" s="61" t="n"/>
    </row>
    <row r="24" ht="15.75" customHeight="1" s="114">
      <c r="A24" s="51" t="n"/>
      <c r="B24" s="52" t="n"/>
      <c r="C24" s="52" t="n"/>
      <c r="D24" s="53" t="n"/>
      <c r="E24" s="54" t="n"/>
      <c r="F24" s="52" t="n"/>
      <c r="G24" s="52" t="n"/>
      <c r="H24" s="52" t="n"/>
      <c r="I24" s="52" t="n"/>
      <c r="J24" s="52" t="n"/>
      <c r="K24" s="55" t="n"/>
      <c r="L24" s="56" t="n"/>
    </row>
    <row r="25" ht="15.75" customHeight="1" s="114">
      <c r="A25" s="57" t="n"/>
      <c r="B25" s="58" t="n"/>
      <c r="C25" s="58" t="n"/>
      <c r="D25" s="64" t="n"/>
      <c r="E25" s="54" t="n"/>
      <c r="F25" s="58" t="n"/>
      <c r="G25" s="58" t="n"/>
      <c r="H25" s="58" t="n"/>
      <c r="I25" s="58" t="n"/>
      <c r="J25" s="58" t="n"/>
      <c r="K25" s="65" t="n"/>
      <c r="L25" s="61" t="n"/>
    </row>
    <row r="26" ht="15.75" customHeight="1" s="114">
      <c r="A26" s="51" t="n"/>
      <c r="B26" s="52" t="n"/>
      <c r="C26" s="52" t="n"/>
      <c r="D26" s="53" t="n"/>
      <c r="E26" s="54" t="n"/>
      <c r="F26" s="52" t="n"/>
      <c r="G26" s="52" t="n"/>
      <c r="H26" s="52" t="n"/>
      <c r="I26" s="52" t="n"/>
      <c r="J26" s="52" t="n"/>
      <c r="K26" s="55" t="n"/>
      <c r="L26" s="56" t="n"/>
    </row>
    <row r="27" ht="15.75" customHeight="1" s="114">
      <c r="A27" s="57" t="n"/>
      <c r="B27" s="58" t="n"/>
      <c r="C27" s="58" t="n"/>
      <c r="D27" s="64" t="n"/>
      <c r="E27" s="54" t="n"/>
      <c r="F27" s="58" t="n"/>
      <c r="G27" s="58" t="n"/>
      <c r="H27" s="58" t="n"/>
      <c r="I27" s="58" t="n"/>
      <c r="J27" s="58" t="n"/>
      <c r="K27" s="65" t="n"/>
      <c r="L27" s="61" t="n"/>
    </row>
    <row r="28" ht="15.75" customHeight="1" s="114">
      <c r="A28" s="51" t="n"/>
      <c r="B28" s="52" t="n"/>
      <c r="C28" s="52" t="n"/>
      <c r="D28" s="53" t="n"/>
      <c r="E28" s="54" t="n"/>
      <c r="F28" s="52" t="n"/>
      <c r="G28" s="52" t="n"/>
      <c r="H28" s="52" t="n"/>
      <c r="I28" s="52" t="n"/>
      <c r="J28" s="52" t="n"/>
      <c r="K28" s="55" t="n"/>
      <c r="L28" s="56" t="n"/>
    </row>
    <row r="29" ht="15.75" customHeight="1" s="114">
      <c r="A29" s="57" t="n"/>
      <c r="B29" s="58" t="n"/>
      <c r="C29" s="58" t="n"/>
      <c r="D29" s="64" t="n"/>
      <c r="E29" s="54" t="n"/>
      <c r="F29" s="58" t="n"/>
      <c r="G29" s="58" t="n"/>
      <c r="H29" s="58" t="n"/>
      <c r="I29" s="58" t="n"/>
      <c r="J29" s="58" t="n"/>
      <c r="K29" s="65" t="n"/>
      <c r="L29" s="61" t="n"/>
    </row>
    <row r="30" ht="15.75" customHeight="1" s="114">
      <c r="A30" s="51" t="n"/>
      <c r="B30" s="52" t="n"/>
      <c r="C30" s="52" t="n"/>
      <c r="D30" s="53" t="n"/>
      <c r="E30" s="54" t="n"/>
      <c r="F30" s="52" t="n"/>
      <c r="G30" s="52" t="n"/>
      <c r="H30" s="52" t="n"/>
      <c r="I30" s="52" t="n"/>
      <c r="J30" s="52" t="n"/>
      <c r="K30" s="55" t="n"/>
      <c r="L30" s="56" t="n"/>
    </row>
    <row r="31" ht="15.75" customHeight="1" s="114">
      <c r="A31" s="57" t="n"/>
      <c r="B31" s="58" t="n"/>
      <c r="C31" s="58" t="n"/>
      <c r="D31" s="64" t="n"/>
      <c r="E31" s="62" t="n"/>
      <c r="F31" s="58" t="n"/>
      <c r="G31" s="58" t="n"/>
      <c r="H31" s="58" t="n"/>
      <c r="I31" s="58" t="n"/>
      <c r="J31" s="58" t="n"/>
      <c r="K31" s="65" t="n"/>
      <c r="L31" s="61" t="n"/>
    </row>
    <row r="32" ht="15.75" customHeight="1" s="114">
      <c r="A32" s="51" t="n"/>
      <c r="B32" s="52" t="n"/>
      <c r="C32" s="52" t="n"/>
      <c r="D32" s="53" t="n"/>
      <c r="E32" s="63" t="n"/>
      <c r="F32" s="52" t="n"/>
      <c r="G32" s="52" t="n"/>
      <c r="H32" s="52" t="n"/>
      <c r="I32" s="52" t="n"/>
      <c r="J32" s="52" t="n"/>
      <c r="K32" s="55" t="n"/>
      <c r="L32" s="56" t="n"/>
    </row>
    <row r="33" ht="15.75" customHeight="1" s="114">
      <c r="A33" s="57" t="n"/>
      <c r="B33" s="58" t="n"/>
      <c r="C33" s="58" t="n"/>
      <c r="D33" s="64" t="n"/>
      <c r="E33" s="63" t="n"/>
      <c r="F33" s="58" t="n"/>
      <c r="G33" s="58" t="n"/>
      <c r="H33" s="58" t="n"/>
      <c r="I33" s="58" t="n"/>
      <c r="J33" s="58" t="n"/>
      <c r="K33" s="65" t="n"/>
      <c r="L33" s="61" t="n"/>
    </row>
    <row r="34" ht="15.75" customHeight="1" s="114">
      <c r="A34" s="51" t="n"/>
      <c r="B34" s="52" t="n"/>
      <c r="C34" s="52" t="n"/>
      <c r="D34" s="53" t="n"/>
      <c r="E34" s="54" t="n"/>
      <c r="F34" s="52" t="n"/>
      <c r="G34" s="52" t="n"/>
      <c r="H34" s="52" t="n"/>
      <c r="I34" s="52" t="n"/>
      <c r="J34" s="52" t="n"/>
      <c r="K34" s="55" t="n"/>
      <c r="L34" s="56" t="n"/>
    </row>
    <row r="35" ht="15.75" customHeight="1" s="114">
      <c r="A35" s="57" t="n"/>
      <c r="B35" s="58" t="n"/>
      <c r="C35" s="58" t="n"/>
      <c r="D35" s="64" t="n"/>
      <c r="E35" s="54" t="n"/>
      <c r="F35" s="58" t="n"/>
      <c r="G35" s="58" t="n"/>
      <c r="H35" s="58" t="n"/>
      <c r="I35" s="58" t="n"/>
      <c r="J35" s="58" t="n"/>
      <c r="K35" s="65" t="n"/>
      <c r="L35" s="61" t="n"/>
    </row>
    <row r="36" ht="15.75" customHeight="1" s="114">
      <c r="A36" s="51" t="n"/>
      <c r="B36" s="52" t="n"/>
      <c r="C36" s="52" t="n"/>
      <c r="D36" s="53" t="n"/>
      <c r="E36" s="54" t="n"/>
      <c r="F36" s="52" t="n"/>
      <c r="G36" s="52" t="n"/>
      <c r="H36" s="52" t="n"/>
      <c r="I36" s="52" t="n"/>
      <c r="J36" s="52" t="n"/>
      <c r="K36" s="55" t="n"/>
      <c r="L36" s="56" t="n"/>
    </row>
    <row r="37" ht="15.75" customHeight="1" s="114">
      <c r="A37" s="57" t="n"/>
      <c r="B37" s="58" t="n"/>
      <c r="C37" s="58" t="n"/>
      <c r="D37" s="64" t="n"/>
      <c r="E37" s="54" t="n"/>
      <c r="F37" s="58" t="n"/>
      <c r="G37" s="58" t="n"/>
      <c r="H37" s="58" t="n"/>
      <c r="I37" s="58" t="n"/>
      <c r="J37" s="58" t="n"/>
      <c r="K37" s="65" t="n"/>
      <c r="L37" s="61" t="n"/>
    </row>
    <row r="38" ht="15.75" customHeight="1" s="114">
      <c r="A38" s="51" t="n"/>
      <c r="B38" s="52" t="n"/>
      <c r="C38" s="52" t="n"/>
      <c r="D38" s="53" t="n"/>
      <c r="E38" s="54" t="n"/>
      <c r="F38" s="52" t="n"/>
      <c r="G38" s="52" t="n"/>
      <c r="H38" s="52" t="n"/>
      <c r="I38" s="52" t="n"/>
      <c r="J38" s="52" t="n"/>
      <c r="K38" s="55" t="n"/>
      <c r="L38" s="56" t="n"/>
    </row>
    <row r="39" ht="15.75" customHeight="1" s="114">
      <c r="A39" s="57" t="n"/>
      <c r="B39" s="58" t="n"/>
      <c r="C39" s="58" t="n"/>
      <c r="D39" s="64" t="n"/>
      <c r="E39" s="54" t="n"/>
      <c r="F39" s="58" t="n"/>
      <c r="G39" s="58" t="n"/>
      <c r="H39" s="58" t="n"/>
      <c r="I39" s="58" t="n"/>
      <c r="J39" s="58" t="n"/>
      <c r="K39" s="65" t="n"/>
      <c r="L39" s="61" t="n"/>
    </row>
    <row r="40" ht="15.75" customHeight="1" s="114">
      <c r="A40" s="51" t="n"/>
      <c r="B40" s="52" t="n"/>
      <c r="C40" s="52" t="n"/>
      <c r="D40" s="53" t="n"/>
      <c r="E40" s="54" t="n"/>
      <c r="F40" s="52" t="n"/>
      <c r="G40" s="52" t="n"/>
      <c r="H40" s="52" t="n"/>
      <c r="I40" s="52" t="n"/>
      <c r="J40" s="52" t="n"/>
      <c r="K40" s="55" t="n"/>
      <c r="L40" s="56" t="n"/>
    </row>
    <row r="41" ht="15.75" customHeight="1" s="114">
      <c r="A41" s="57" t="n"/>
      <c r="B41" s="58" t="n"/>
      <c r="C41" s="58" t="n"/>
      <c r="D41" s="64" t="n"/>
      <c r="E41" s="54" t="n"/>
      <c r="F41" s="58" t="n"/>
      <c r="G41" s="58" t="n"/>
      <c r="H41" s="58" t="n"/>
      <c r="I41" s="58" t="n"/>
      <c r="J41" s="58" t="n"/>
      <c r="K41" s="65" t="n"/>
      <c r="L41" s="61" t="n"/>
    </row>
    <row r="42" ht="15.75" customHeight="1" s="114">
      <c r="A42" s="51" t="n"/>
      <c r="B42" s="52" t="n"/>
      <c r="C42" s="52" t="n"/>
      <c r="D42" s="53" t="n"/>
      <c r="E42" s="54" t="n"/>
      <c r="F42" s="52" t="n"/>
      <c r="G42" s="52" t="n"/>
      <c r="H42" s="52" t="n"/>
      <c r="I42" s="52" t="n"/>
      <c r="J42" s="52" t="n"/>
      <c r="K42" s="55" t="n"/>
      <c r="L42" s="56" t="n"/>
    </row>
    <row r="43" ht="15.75" customHeight="1" s="114">
      <c r="A43" s="57" t="n"/>
      <c r="B43" s="58" t="n"/>
      <c r="C43" s="58" t="n"/>
      <c r="D43" s="64" t="n"/>
      <c r="E43" s="63" t="n"/>
      <c r="F43" s="58" t="n"/>
      <c r="G43" s="58" t="n"/>
      <c r="H43" s="58" t="n"/>
      <c r="I43" s="58" t="n"/>
      <c r="J43" s="58" t="n"/>
      <c r="K43" s="65" t="n"/>
      <c r="L43" s="61" t="n"/>
    </row>
    <row r="44" ht="15.75" customHeight="1" s="114">
      <c r="A44" s="51" t="n"/>
      <c r="B44" s="52" t="n"/>
      <c r="C44" s="52" t="n"/>
      <c r="D44" s="53" t="n"/>
      <c r="E44" s="63" t="n"/>
      <c r="F44" s="52" t="n"/>
      <c r="G44" s="52" t="n"/>
      <c r="H44" s="52" t="n"/>
      <c r="I44" s="52" t="n"/>
      <c r="J44" s="52" t="n"/>
      <c r="K44" s="55" t="n"/>
      <c r="L44" s="56" t="n"/>
    </row>
    <row r="45" ht="15.75" customHeight="1" s="114">
      <c r="A45" s="57" t="n"/>
      <c r="B45" s="58" t="n"/>
      <c r="C45" s="58" t="n"/>
      <c r="D45" s="64" t="n"/>
      <c r="E45" s="62" t="n"/>
      <c r="F45" s="58" t="n"/>
      <c r="G45" s="58" t="n"/>
      <c r="H45" s="58" t="n"/>
      <c r="I45" s="58" t="n"/>
      <c r="J45" s="58" t="n"/>
      <c r="K45" s="65" t="n"/>
      <c r="L45" s="61" t="n"/>
    </row>
    <row r="46" ht="15.75" customHeight="1" s="114">
      <c r="A46" s="51" t="n"/>
      <c r="B46" s="52" t="n"/>
      <c r="C46" s="52" t="n"/>
      <c r="D46" s="53" t="n"/>
      <c r="E46" s="54" t="n"/>
      <c r="F46" s="52" t="n"/>
      <c r="G46" s="52" t="n"/>
      <c r="H46" s="52" t="n"/>
      <c r="I46" s="52" t="n"/>
      <c r="J46" s="52" t="n"/>
      <c r="K46" s="55" t="n"/>
      <c r="L46" s="56" t="n"/>
    </row>
    <row r="47" ht="15.75" customHeight="1" s="114">
      <c r="A47" s="57" t="n"/>
      <c r="B47" s="58" t="n"/>
      <c r="C47" s="58" t="n"/>
      <c r="D47" s="64" t="n"/>
      <c r="E47" s="54" t="n"/>
      <c r="F47" s="58" t="n"/>
      <c r="G47" s="58" t="n"/>
      <c r="H47" s="58" t="n"/>
      <c r="I47" s="58" t="n"/>
      <c r="J47" s="58" t="n"/>
      <c r="K47" s="65" t="n"/>
      <c r="L47" s="61" t="n"/>
    </row>
    <row r="48" ht="15.75" customHeight="1" s="114">
      <c r="A48" s="51" t="n"/>
      <c r="B48" s="52" t="n"/>
      <c r="C48" s="52" t="n"/>
      <c r="D48" s="53" t="n"/>
      <c r="E48" s="54" t="n"/>
      <c r="F48" s="52" t="n"/>
      <c r="G48" s="52" t="n"/>
      <c r="H48" s="52" t="n"/>
      <c r="I48" s="52" t="n"/>
      <c r="J48" s="52" t="n"/>
      <c r="K48" s="55" t="n"/>
      <c r="L48" s="56" t="n"/>
    </row>
    <row r="49" ht="15.75" customHeight="1" s="114">
      <c r="A49" s="57" t="n"/>
      <c r="B49" s="58" t="n"/>
      <c r="C49" s="58" t="n"/>
      <c r="D49" s="64" t="n"/>
      <c r="E49" s="54" t="n"/>
      <c r="F49" s="58" t="n"/>
      <c r="G49" s="58" t="n"/>
      <c r="H49" s="58" t="n"/>
      <c r="I49" s="58" t="n"/>
      <c r="J49" s="58" t="n"/>
      <c r="K49" s="65" t="n"/>
      <c r="L49" s="61" t="n"/>
    </row>
    <row r="50" ht="15.75" customHeight="1" s="114">
      <c r="A50" s="51" t="n"/>
      <c r="B50" s="52" t="n"/>
      <c r="C50" s="52" t="n"/>
      <c r="D50" s="53" t="n"/>
      <c r="E50" s="54" t="n"/>
      <c r="F50" s="52" t="n"/>
      <c r="G50" s="52" t="n"/>
      <c r="H50" s="52" t="n"/>
      <c r="I50" s="52" t="n"/>
      <c r="J50" s="52" t="n"/>
      <c r="K50" s="55" t="n"/>
      <c r="L50" s="56" t="n"/>
    </row>
    <row r="51" ht="15.75" customHeight="1" s="114">
      <c r="A51" s="57" t="n"/>
      <c r="B51" s="58" t="n"/>
      <c r="C51" s="58" t="n"/>
      <c r="D51" s="64" t="n"/>
      <c r="E51" s="54" t="n"/>
      <c r="F51" s="58" t="n"/>
      <c r="G51" s="58" t="n"/>
      <c r="H51" s="58" t="n"/>
      <c r="I51" s="58" t="n"/>
      <c r="J51" s="58" t="n"/>
      <c r="K51" s="65" t="n"/>
      <c r="L51" s="61" t="n"/>
    </row>
    <row r="52" ht="15.75" customHeight="1" s="114">
      <c r="A52" s="51" t="n"/>
      <c r="B52" s="52" t="n"/>
      <c r="C52" s="52" t="n"/>
      <c r="D52" s="53" t="n"/>
      <c r="E52" s="54" t="n"/>
      <c r="F52" s="52" t="n"/>
      <c r="G52" s="52" t="n"/>
      <c r="H52" s="52" t="n"/>
      <c r="I52" s="52" t="n"/>
      <c r="J52" s="52" t="n"/>
      <c r="K52" s="55" t="n"/>
      <c r="L52" s="56" t="n"/>
    </row>
    <row r="53" ht="15.75" customHeight="1" s="114">
      <c r="A53" s="57" t="n"/>
      <c r="B53" s="58" t="n"/>
      <c r="C53" s="58" t="n"/>
      <c r="D53" s="64" t="n"/>
      <c r="E53" s="54" t="n"/>
      <c r="F53" s="58" t="n"/>
      <c r="G53" s="58" t="n"/>
      <c r="H53" s="58" t="n"/>
      <c r="I53" s="58" t="n"/>
      <c r="J53" s="58" t="n"/>
      <c r="K53" s="65" t="n"/>
      <c r="L53" s="61" t="n"/>
    </row>
    <row r="54" ht="15.75" customHeight="1" s="114">
      <c r="A54" s="51" t="n"/>
      <c r="B54" s="52" t="n"/>
      <c r="C54" s="52" t="n"/>
      <c r="D54" s="53" t="n"/>
      <c r="E54" s="63" t="n"/>
      <c r="F54" s="52" t="n"/>
      <c r="G54" s="52" t="n"/>
      <c r="H54" s="52" t="n"/>
      <c r="I54" s="52" t="n"/>
      <c r="J54" s="52" t="n"/>
      <c r="K54" s="55" t="n"/>
      <c r="L54" s="56" t="n"/>
    </row>
    <row r="55" ht="15.75" customHeight="1" s="114">
      <c r="A55" s="57" t="n"/>
      <c r="B55" s="58" t="n"/>
      <c r="C55" s="58" t="n"/>
      <c r="D55" s="64" t="n"/>
      <c r="E55" s="54" t="n"/>
      <c r="F55" s="58" t="n"/>
      <c r="G55" s="58" t="n"/>
      <c r="H55" s="58" t="n"/>
      <c r="I55" s="58" t="n"/>
      <c r="J55" s="58" t="n"/>
      <c r="K55" s="65" t="n"/>
      <c r="L55" s="61" t="n"/>
    </row>
    <row r="56" ht="15.75" customHeight="1" s="114">
      <c r="A56" s="51" t="n"/>
      <c r="B56" s="52" t="n"/>
      <c r="C56" s="52" t="n"/>
      <c r="D56" s="53" t="n"/>
      <c r="E56" s="54" t="n"/>
      <c r="F56" s="52" t="n"/>
      <c r="G56" s="52" t="n"/>
      <c r="H56" s="52" t="n"/>
      <c r="I56" s="52" t="n"/>
      <c r="J56" s="52" t="n"/>
      <c r="K56" s="55" t="n"/>
      <c r="L56" s="56" t="n"/>
    </row>
    <row r="57" ht="15.75" customHeight="1" s="114">
      <c r="A57" s="57" t="n"/>
      <c r="B57" s="58" t="n"/>
      <c r="C57" s="58" t="n"/>
      <c r="D57" s="64" t="n"/>
      <c r="E57" s="54" t="n"/>
      <c r="F57" s="58" t="n"/>
      <c r="G57" s="58" t="n"/>
      <c r="H57" s="58" t="n"/>
      <c r="I57" s="58" t="n"/>
      <c r="J57" s="58" t="n"/>
      <c r="K57" s="65" t="n"/>
      <c r="L57" s="61" t="n"/>
    </row>
    <row r="58" ht="15.75" customHeight="1" s="114">
      <c r="A58" s="51" t="n"/>
      <c r="B58" s="52" t="n"/>
      <c r="C58" s="52" t="n"/>
      <c r="D58" s="53" t="n"/>
      <c r="E58" s="54" t="n"/>
      <c r="F58" s="52" t="n"/>
      <c r="G58" s="52" t="n"/>
      <c r="H58" s="52" t="n"/>
      <c r="I58" s="52" t="n"/>
      <c r="J58" s="52" t="n"/>
      <c r="K58" s="55" t="n"/>
      <c r="L58" s="56" t="n"/>
    </row>
    <row r="59" ht="15.75" customHeight="1" s="114">
      <c r="A59" s="57" t="n"/>
      <c r="B59" s="58" t="n"/>
      <c r="C59" s="58" t="n"/>
      <c r="D59" s="64" t="n"/>
      <c r="E59" s="54" t="n"/>
      <c r="F59" s="58" t="n"/>
      <c r="G59" s="58" t="n"/>
      <c r="H59" s="58" t="n"/>
      <c r="I59" s="58" t="n"/>
      <c r="J59" s="58" t="n"/>
      <c r="K59" s="65" t="n"/>
      <c r="L59" s="61" t="n"/>
    </row>
    <row r="60" ht="15.75" customHeight="1" s="114">
      <c r="A60" s="51" t="n"/>
      <c r="B60" s="52" t="n"/>
      <c r="C60" s="52" t="n"/>
      <c r="D60" s="53" t="n"/>
      <c r="E60" s="54" t="n"/>
      <c r="F60" s="52" t="n"/>
      <c r="G60" s="52" t="n"/>
      <c r="H60" s="52" t="n"/>
      <c r="I60" s="52" t="n"/>
      <c r="J60" s="52" t="n"/>
      <c r="K60" s="55" t="n"/>
      <c r="L60" s="56" t="n"/>
    </row>
    <row r="61" ht="15.75" customHeight="1" s="114">
      <c r="A61" s="57" t="n"/>
      <c r="B61" s="58" t="n"/>
      <c r="C61" s="58" t="n"/>
      <c r="D61" s="64" t="n"/>
      <c r="E61" s="54" t="n"/>
      <c r="F61" s="58" t="n"/>
      <c r="G61" s="58" t="n"/>
      <c r="H61" s="58" t="n"/>
      <c r="I61" s="58" t="n"/>
      <c r="J61" s="58" t="n"/>
      <c r="K61" s="65" t="n"/>
      <c r="L61" s="61" t="n"/>
    </row>
    <row r="62" ht="15.75" customHeight="1" s="114">
      <c r="A62" s="51" t="n"/>
      <c r="B62" s="52" t="n"/>
      <c r="C62" s="52" t="n"/>
      <c r="D62" s="53" t="n"/>
      <c r="E62" s="54" t="n"/>
      <c r="F62" s="52" t="n"/>
      <c r="G62" s="52" t="n"/>
      <c r="H62" s="52" t="n"/>
      <c r="I62" s="52" t="n"/>
      <c r="J62" s="52" t="n"/>
      <c r="K62" s="55" t="n"/>
      <c r="L62" s="56" t="n"/>
    </row>
    <row r="63" ht="15.75" customHeight="1" s="114">
      <c r="A63" s="57" t="n"/>
      <c r="B63" s="58" t="n"/>
      <c r="C63" s="58" t="n"/>
      <c r="D63" s="64" t="n"/>
      <c r="E63" s="54" t="n"/>
      <c r="F63" s="58" t="n"/>
      <c r="G63" s="58" t="n"/>
      <c r="H63" s="58" t="n"/>
      <c r="I63" s="58" t="n"/>
      <c r="J63" s="58" t="n"/>
      <c r="K63" s="65" t="n"/>
      <c r="L63" s="61" t="n"/>
    </row>
    <row r="64" ht="15.75" customHeight="1" s="114">
      <c r="A64" s="51" t="n"/>
      <c r="B64" s="52" t="n"/>
      <c r="C64" s="52" t="n"/>
      <c r="D64" s="53" t="n"/>
      <c r="E64" s="62" t="n"/>
      <c r="F64" s="52" t="n"/>
      <c r="G64" s="52" t="n"/>
      <c r="H64" s="52" t="n"/>
      <c r="I64" s="52" t="n"/>
      <c r="J64" s="52" t="n"/>
      <c r="K64" s="55" t="n"/>
      <c r="L64" s="56" t="n"/>
    </row>
    <row r="65" ht="15.75" customHeight="1" s="114">
      <c r="A65" s="57" t="n"/>
      <c r="B65" s="58" t="n"/>
      <c r="C65" s="58" t="n"/>
      <c r="D65" s="64" t="n"/>
      <c r="E65" s="63" t="n"/>
      <c r="F65" s="58" t="n"/>
      <c r="G65" s="58" t="n"/>
      <c r="H65" s="58" t="n"/>
      <c r="I65" s="58" t="n"/>
      <c r="J65" s="58" t="n"/>
      <c r="K65" s="65" t="n"/>
      <c r="L65" s="61" t="n"/>
    </row>
    <row r="66" ht="15.75" customHeight="1" s="114">
      <c r="A66" s="51" t="n"/>
      <c r="B66" s="52" t="n"/>
      <c r="C66" s="52" t="n"/>
      <c r="D66" s="53" t="n"/>
      <c r="E66" s="54" t="n"/>
      <c r="F66" s="52" t="n"/>
      <c r="G66" s="52" t="n"/>
      <c r="H66" s="52" t="n"/>
      <c r="I66" s="52" t="n"/>
      <c r="J66" s="52" t="n"/>
      <c r="K66" s="55" t="n"/>
      <c r="L66" s="56" t="n"/>
    </row>
    <row r="67" ht="15.75" customHeight="1" s="114">
      <c r="A67" s="57" t="n"/>
      <c r="B67" s="58" t="n"/>
      <c r="C67" s="58" t="n"/>
      <c r="D67" s="64" t="n"/>
      <c r="E67" s="54" t="n"/>
      <c r="F67" s="58" t="n"/>
      <c r="G67" s="58" t="n"/>
      <c r="H67" s="58" t="n"/>
      <c r="I67" s="58" t="n"/>
      <c r="J67" s="58" t="n"/>
      <c r="K67" s="65" t="n"/>
      <c r="L67" s="61" t="n"/>
    </row>
    <row r="68" ht="15.75" customHeight="1" s="114">
      <c r="A68" s="51" t="n"/>
      <c r="B68" s="52" t="n"/>
      <c r="C68" s="52" t="n"/>
      <c r="D68" s="53" t="n"/>
      <c r="E68" s="54" t="n"/>
      <c r="F68" s="52" t="n"/>
      <c r="G68" s="52" t="n"/>
      <c r="H68" s="52" t="n"/>
      <c r="I68" s="52" t="n"/>
      <c r="J68" s="52" t="n"/>
      <c r="K68" s="55" t="n"/>
      <c r="L68" s="56" t="n"/>
    </row>
    <row r="69" ht="15.75" customHeight="1" s="114">
      <c r="A69" s="57" t="n"/>
      <c r="B69" s="58" t="n"/>
      <c r="C69" s="58" t="n"/>
      <c r="D69" s="64" t="n"/>
      <c r="E69" s="54" t="n"/>
      <c r="F69" s="58" t="n"/>
      <c r="G69" s="58" t="n"/>
      <c r="H69" s="58" t="n"/>
      <c r="I69" s="58" t="n"/>
      <c r="J69" s="58" t="n"/>
      <c r="K69" s="65" t="n"/>
      <c r="L69" s="61" t="n"/>
    </row>
    <row r="70" ht="15.75" customHeight="1" s="114">
      <c r="A70" s="51" t="n"/>
      <c r="B70" s="52" t="n"/>
      <c r="C70" s="52" t="n"/>
      <c r="D70" s="53" t="n"/>
      <c r="E70" s="54" t="n"/>
      <c r="F70" s="52" t="n"/>
      <c r="G70" s="52" t="n"/>
      <c r="H70" s="52" t="n"/>
      <c r="I70" s="52" t="n"/>
      <c r="J70" s="52" t="n"/>
      <c r="K70" s="55" t="n"/>
      <c r="L70" s="56" t="n"/>
    </row>
    <row r="71" ht="15.75" customHeight="1" s="114">
      <c r="A71" s="57" t="n"/>
      <c r="B71" s="58" t="n"/>
      <c r="C71" s="58" t="n"/>
      <c r="D71" s="64" t="n"/>
      <c r="E71" s="54" t="n"/>
      <c r="F71" s="58" t="n"/>
      <c r="G71" s="58" t="n"/>
      <c r="H71" s="58" t="n"/>
      <c r="I71" s="58" t="n"/>
      <c r="J71" s="58" t="n"/>
      <c r="K71" s="65" t="n"/>
      <c r="L71" s="61" t="n"/>
    </row>
    <row r="72" ht="15.75" customHeight="1" s="114">
      <c r="A72" s="51" t="n"/>
      <c r="B72" s="52" t="n"/>
      <c r="C72" s="52" t="n"/>
      <c r="D72" s="53" t="n"/>
      <c r="E72" s="63" t="n"/>
      <c r="F72" s="52" t="n"/>
      <c r="G72" s="52" t="n"/>
      <c r="H72" s="52" t="n"/>
      <c r="I72" s="52" t="n"/>
      <c r="J72" s="52" t="n"/>
      <c r="K72" s="55" t="n"/>
      <c r="L72" s="56" t="n"/>
    </row>
    <row r="73" ht="15.75" customHeight="1" s="114">
      <c r="A73" s="57" t="n"/>
      <c r="B73" s="58" t="n"/>
      <c r="C73" s="58" t="n"/>
      <c r="D73" s="64" t="n"/>
      <c r="E73" s="54" t="n"/>
      <c r="F73" s="58" t="n"/>
      <c r="G73" s="58" t="n"/>
      <c r="H73" s="58" t="n"/>
      <c r="I73" s="58" t="n"/>
      <c r="J73" s="58" t="n"/>
      <c r="K73" s="65" t="n"/>
      <c r="L73" s="61" t="n"/>
    </row>
    <row r="74" ht="15.75" customHeight="1" s="114">
      <c r="A74" s="51" t="n"/>
      <c r="B74" s="52" t="n"/>
      <c r="C74" s="52" t="n"/>
      <c r="D74" s="53" t="n"/>
      <c r="E74" s="54" t="n"/>
      <c r="F74" s="52" t="n"/>
      <c r="G74" s="52" t="n"/>
      <c r="H74" s="52" t="n"/>
      <c r="I74" s="52" t="n"/>
      <c r="J74" s="52" t="n"/>
      <c r="K74" s="55" t="n"/>
      <c r="L74" s="56" t="n"/>
    </row>
    <row r="75" ht="15.75" customHeight="1" s="114">
      <c r="A75" s="57" t="n"/>
      <c r="B75" s="58" t="n"/>
      <c r="C75" s="58" t="n"/>
      <c r="D75" s="64" t="n"/>
      <c r="E75" s="54" t="n"/>
      <c r="F75" s="58" t="n"/>
      <c r="G75" s="58" t="n"/>
      <c r="H75" s="58" t="n"/>
      <c r="I75" s="58" t="n"/>
      <c r="J75" s="58" t="n"/>
      <c r="K75" s="65" t="n"/>
      <c r="L75" s="61" t="n"/>
    </row>
    <row r="76" ht="15.75" customHeight="1" s="114">
      <c r="A76" s="51" t="n"/>
      <c r="B76" s="52" t="n"/>
      <c r="C76" s="52" t="n"/>
      <c r="D76" s="53" t="n"/>
      <c r="E76" s="54" t="n"/>
      <c r="F76" s="52" t="n"/>
      <c r="G76" s="52" t="n"/>
      <c r="H76" s="52" t="n"/>
      <c r="I76" s="52" t="n"/>
      <c r="J76" s="52" t="n"/>
      <c r="K76" s="55" t="n"/>
      <c r="L76" s="56" t="n"/>
    </row>
    <row r="77" ht="15.75" customHeight="1" s="114">
      <c r="A77" s="57" t="n"/>
      <c r="B77" s="58" t="n"/>
      <c r="C77" s="58" t="n"/>
      <c r="D77" s="64" t="n"/>
      <c r="E77" s="54" t="n"/>
      <c r="F77" s="58" t="n"/>
      <c r="G77" s="58" t="n"/>
      <c r="H77" s="58" t="n"/>
      <c r="I77" s="58" t="n"/>
      <c r="J77" s="58" t="n"/>
      <c r="K77" s="65" t="n"/>
      <c r="L77" s="61" t="n"/>
    </row>
    <row r="78" ht="15.75" customHeight="1" s="114">
      <c r="A78" s="51" t="n"/>
      <c r="B78" s="52" t="n"/>
      <c r="C78" s="52" t="n"/>
      <c r="D78" s="53" t="n"/>
      <c r="E78" s="54" t="n"/>
      <c r="F78" s="52" t="n"/>
      <c r="G78" s="52" t="n"/>
      <c r="H78" s="52" t="n"/>
      <c r="I78" s="52" t="n"/>
      <c r="J78" s="52" t="n"/>
      <c r="K78" s="55" t="n"/>
      <c r="L78" s="56" t="n"/>
    </row>
    <row r="79" ht="15.75" customHeight="1" s="114">
      <c r="A79" s="57" t="n"/>
      <c r="B79" s="58" t="n"/>
      <c r="C79" s="58" t="n"/>
      <c r="D79" s="64" t="n"/>
      <c r="E79" s="54" t="n"/>
      <c r="F79" s="58" t="n"/>
      <c r="G79" s="58" t="n"/>
      <c r="H79" s="58" t="n"/>
      <c r="I79" s="58" t="n"/>
      <c r="J79" s="58" t="n"/>
      <c r="K79" s="65" t="n"/>
      <c r="L79" s="61" t="n"/>
    </row>
    <row r="80" ht="15.75" customHeight="1" s="114">
      <c r="A80" s="51" t="n"/>
      <c r="B80" s="52" t="n"/>
      <c r="C80" s="52" t="n"/>
      <c r="D80" s="53" t="n"/>
      <c r="E80" s="54" t="n"/>
      <c r="F80" s="52" t="n"/>
      <c r="G80" s="52" t="n"/>
      <c r="H80" s="52" t="n"/>
      <c r="I80" s="52" t="n"/>
      <c r="J80" s="52" t="n"/>
      <c r="K80" s="55" t="n"/>
      <c r="L80" s="56" t="n"/>
    </row>
    <row r="81" ht="15.75" customHeight="1" s="114">
      <c r="A81" s="57" t="n"/>
      <c r="B81" s="58" t="n"/>
      <c r="C81" s="58" t="n"/>
      <c r="D81" s="64" t="n"/>
      <c r="E81" s="54" t="n"/>
      <c r="F81" s="58" t="n"/>
      <c r="G81" s="58" t="n"/>
      <c r="H81" s="58" t="n"/>
      <c r="I81" s="58" t="n"/>
      <c r="J81" s="58" t="n"/>
      <c r="K81" s="65" t="n"/>
      <c r="L81" s="61" t="n"/>
    </row>
    <row r="82" ht="15.75" customHeight="1" s="114">
      <c r="A82" s="51" t="n"/>
      <c r="B82" s="52" t="n"/>
      <c r="C82" s="52" t="n"/>
      <c r="D82" s="53" t="n"/>
      <c r="E82" s="62" t="n"/>
      <c r="F82" s="52" t="n"/>
      <c r="G82" s="52" t="n"/>
      <c r="H82" s="52" t="n"/>
      <c r="I82" s="52" t="n"/>
      <c r="J82" s="52" t="n"/>
      <c r="K82" s="55" t="n"/>
      <c r="L82" s="56" t="n"/>
    </row>
    <row r="83" ht="15.75" customHeight="1" s="114">
      <c r="A83" s="57" t="n"/>
      <c r="B83" s="58" t="n"/>
      <c r="C83" s="58" t="n"/>
      <c r="D83" s="64" t="n"/>
      <c r="E83" s="63" t="n"/>
      <c r="F83" s="58" t="n"/>
      <c r="G83" s="58" t="n"/>
      <c r="H83" s="58" t="n"/>
      <c r="I83" s="58" t="n"/>
      <c r="J83" s="58" t="n"/>
      <c r="K83" s="65" t="n"/>
      <c r="L83" s="61" t="n"/>
    </row>
    <row r="84" ht="15.75" customHeight="1" s="114">
      <c r="A84" s="51" t="n"/>
      <c r="B84" s="52" t="n"/>
      <c r="C84" s="52" t="n"/>
      <c r="D84" s="53" t="n"/>
      <c r="E84" s="54" t="n"/>
      <c r="F84" s="52" t="n"/>
      <c r="G84" s="52" t="n"/>
      <c r="H84" s="52" t="n"/>
      <c r="I84" s="52" t="n"/>
      <c r="J84" s="52" t="n"/>
      <c r="K84" s="55" t="n"/>
      <c r="L84" s="56" t="n"/>
    </row>
    <row r="85" ht="15.75" customHeight="1" s="114">
      <c r="A85" s="57" t="n"/>
      <c r="B85" s="58" t="n"/>
      <c r="C85" s="58" t="n"/>
      <c r="D85" s="64" t="n"/>
      <c r="E85" s="54" t="n"/>
      <c r="F85" s="58" t="n"/>
      <c r="G85" s="58" t="n"/>
      <c r="H85" s="58" t="n"/>
      <c r="I85" s="58" t="n"/>
      <c r="J85" s="58" t="n"/>
      <c r="K85" s="65" t="n"/>
      <c r="L85" s="61" t="n"/>
    </row>
    <row r="86" ht="15.75" customHeight="1" s="114">
      <c r="A86" s="51" t="n"/>
      <c r="B86" s="52" t="n"/>
      <c r="C86" s="52" t="n"/>
      <c r="D86" s="53" t="n"/>
      <c r="E86" s="54" t="n"/>
      <c r="F86" s="52" t="n"/>
      <c r="G86" s="52" t="n"/>
      <c r="H86" s="52" t="n"/>
      <c r="I86" s="52" t="n"/>
      <c r="J86" s="52" t="n"/>
      <c r="K86" s="55" t="n"/>
      <c r="L86" s="56" t="n"/>
    </row>
    <row r="87" ht="15.75" customHeight="1" s="114">
      <c r="A87" s="57" t="n"/>
      <c r="B87" s="58" t="n"/>
      <c r="C87" s="58" t="n"/>
      <c r="D87" s="64" t="n"/>
      <c r="E87" s="54" t="n"/>
      <c r="F87" s="58" t="n"/>
      <c r="G87" s="58" t="n"/>
      <c r="H87" s="58" t="n"/>
      <c r="I87" s="58" t="n"/>
      <c r="J87" s="58" t="n"/>
      <c r="K87" s="65" t="n"/>
      <c r="L87" s="61" t="n"/>
    </row>
    <row r="88" ht="15.75" customHeight="1" s="114">
      <c r="A88" s="51" t="n"/>
      <c r="B88" s="52" t="n"/>
      <c r="C88" s="52" t="n"/>
      <c r="D88" s="53" t="n"/>
      <c r="E88" s="54" t="n"/>
      <c r="F88" s="52" t="n"/>
      <c r="G88" s="52" t="n"/>
      <c r="H88" s="52" t="n"/>
      <c r="I88" s="52" t="n"/>
      <c r="J88" s="52" t="n"/>
      <c r="K88" s="55" t="n"/>
      <c r="L88" s="56" t="n"/>
    </row>
    <row r="89" ht="15.75" customHeight="1" s="114">
      <c r="A89" s="57" t="n"/>
      <c r="B89" s="58" t="n"/>
      <c r="C89" s="58" t="n"/>
      <c r="D89" s="64" t="n"/>
      <c r="E89" s="54" t="n"/>
      <c r="F89" s="58" t="n"/>
      <c r="G89" s="58" t="n"/>
      <c r="H89" s="58" t="n"/>
      <c r="I89" s="58" t="n"/>
      <c r="J89" s="58" t="n"/>
      <c r="K89" s="65" t="n"/>
      <c r="L89" s="61" t="n"/>
    </row>
    <row r="90" ht="15.75" customHeight="1" s="114">
      <c r="A90" s="51" t="n"/>
      <c r="B90" s="52" t="n"/>
      <c r="C90" s="52" t="n"/>
      <c r="D90" s="53" t="n"/>
      <c r="E90" s="54" t="n"/>
      <c r="F90" s="52" t="n"/>
      <c r="G90" s="52" t="n"/>
      <c r="H90" s="52" t="n"/>
      <c r="I90" s="52" t="n"/>
      <c r="J90" s="52" t="n"/>
      <c r="K90" s="55" t="n"/>
      <c r="L90" s="56" t="n"/>
    </row>
    <row r="91" ht="15.75" customHeight="1" s="114">
      <c r="A91" s="57" t="n"/>
      <c r="B91" s="58" t="n"/>
      <c r="C91" s="58" t="n"/>
      <c r="D91" s="64" t="n"/>
      <c r="E91" s="54" t="n"/>
      <c r="F91" s="58" t="n"/>
      <c r="G91" s="58" t="n"/>
      <c r="H91" s="58" t="n"/>
      <c r="I91" s="58" t="n"/>
      <c r="J91" s="58" t="n"/>
      <c r="K91" s="65" t="n"/>
      <c r="L91" s="61" t="n"/>
    </row>
    <row r="92" ht="15.75" customHeight="1" s="114">
      <c r="A92" s="51" t="n"/>
      <c r="B92" s="52" t="n"/>
      <c r="C92" s="52" t="n"/>
      <c r="D92" s="53" t="n"/>
      <c r="E92" s="54" t="n"/>
      <c r="F92" s="52" t="n"/>
      <c r="G92" s="52" t="n"/>
      <c r="H92" s="52" t="n"/>
      <c r="I92" s="52" t="n"/>
      <c r="J92" s="52" t="n"/>
      <c r="K92" s="55" t="n"/>
      <c r="L92" s="56" t="n"/>
    </row>
    <row r="93" ht="15.75" customHeight="1" s="114">
      <c r="A93" s="57" t="n"/>
      <c r="B93" s="58" t="n"/>
      <c r="C93" s="58" t="n"/>
      <c r="D93" s="64" t="n"/>
      <c r="E93" s="62" t="n"/>
      <c r="F93" s="58" t="n"/>
      <c r="G93" s="58" t="n"/>
      <c r="H93" s="58" t="n"/>
      <c r="I93" s="58" t="n"/>
      <c r="J93" s="58" t="n"/>
      <c r="K93" s="65" t="n"/>
      <c r="L93" s="61" t="n"/>
    </row>
    <row r="94" ht="15.75" customHeight="1" s="114">
      <c r="A94" s="51" t="n"/>
      <c r="B94" s="52" t="n"/>
      <c r="C94" s="52" t="n"/>
      <c r="D94" s="53" t="n"/>
      <c r="E94" s="54" t="n"/>
      <c r="F94" s="52" t="n"/>
      <c r="G94" s="52" t="n"/>
      <c r="H94" s="52" t="n"/>
      <c r="I94" s="52" t="n"/>
      <c r="J94" s="52" t="n"/>
      <c r="K94" s="55" t="n"/>
      <c r="L94" s="56" t="n"/>
    </row>
    <row r="95" ht="15.75" customHeight="1" s="114">
      <c r="A95" s="57" t="n"/>
      <c r="B95" s="58" t="n"/>
      <c r="C95" s="58" t="n"/>
      <c r="D95" s="64" t="n"/>
      <c r="E95" s="54" t="n"/>
      <c r="F95" s="58" t="n"/>
      <c r="G95" s="58" t="n"/>
      <c r="H95" s="58" t="n"/>
      <c r="I95" s="58" t="n"/>
      <c r="J95" s="58" t="n"/>
      <c r="K95" s="65" t="n"/>
      <c r="L95" s="61" t="n"/>
    </row>
    <row r="96" ht="15.75" customHeight="1" s="114">
      <c r="A96" s="51" t="n"/>
      <c r="B96" s="52" t="n"/>
      <c r="C96" s="52" t="n"/>
      <c r="D96" s="53" t="n"/>
      <c r="E96" s="54" t="n"/>
      <c r="F96" s="52" t="n"/>
      <c r="G96" s="52" t="n"/>
      <c r="H96" s="52" t="n"/>
      <c r="I96" s="52" t="n"/>
      <c r="J96" s="52" t="n"/>
      <c r="K96" s="55" t="n"/>
      <c r="L96" s="56" t="n"/>
    </row>
    <row r="97" ht="15.75" customHeight="1" s="114">
      <c r="A97" s="57" t="n"/>
      <c r="B97" s="58" t="n"/>
      <c r="C97" s="58" t="n"/>
      <c r="D97" s="64" t="n"/>
      <c r="E97" s="63" t="n"/>
      <c r="F97" s="58" t="n"/>
      <c r="G97" s="58" t="n"/>
      <c r="H97" s="58" t="n"/>
      <c r="I97" s="58" t="n"/>
      <c r="J97" s="58" t="n"/>
      <c r="K97" s="65" t="n"/>
      <c r="L97" s="61" t="n"/>
    </row>
    <row r="98" ht="15.75" customHeight="1" s="114">
      <c r="A98" s="51" t="n"/>
      <c r="B98" s="52" t="n"/>
      <c r="C98" s="52" t="n"/>
      <c r="D98" s="53" t="n"/>
      <c r="E98" s="54" t="n"/>
      <c r="F98" s="52" t="n"/>
      <c r="G98" s="52" t="n"/>
      <c r="H98" s="52" t="n"/>
      <c r="I98" s="52" t="n"/>
      <c r="J98" s="52" t="n"/>
      <c r="K98" s="55" t="n"/>
      <c r="L98" s="56" t="n"/>
    </row>
    <row r="99" ht="15.75" customHeight="1" s="114">
      <c r="A99" s="57" t="n"/>
      <c r="B99" s="58" t="n"/>
      <c r="C99" s="58" t="n"/>
      <c r="D99" s="64" t="n"/>
      <c r="E99" s="63" t="n"/>
      <c r="F99" s="58" t="n"/>
      <c r="G99" s="58" t="n"/>
      <c r="H99" s="58" t="n"/>
      <c r="I99" s="58" t="n"/>
      <c r="J99" s="58" t="n"/>
      <c r="K99" s="65" t="n"/>
      <c r="L99" s="61" t="n"/>
    </row>
    <row r="100" ht="15.75" customHeight="1" s="114">
      <c r="A100" s="51" t="n"/>
      <c r="B100" s="52" t="n"/>
      <c r="C100" s="52" t="n"/>
      <c r="D100" s="53" t="n"/>
      <c r="E100" s="63" t="n"/>
      <c r="F100" s="52" t="n"/>
      <c r="G100" s="52" t="n"/>
      <c r="H100" s="52" t="n"/>
      <c r="I100" s="52" t="n"/>
      <c r="J100" s="52" t="n"/>
      <c r="K100" s="55" t="n"/>
      <c r="L100" s="56" t="n"/>
    </row>
    <row r="101" ht="15.75" customHeight="1" s="114">
      <c r="A101" s="57" t="n"/>
      <c r="B101" s="58" t="n"/>
      <c r="C101" s="58" t="n"/>
      <c r="D101" s="64" t="n"/>
      <c r="E101" s="54" t="n"/>
      <c r="F101" s="58" t="n"/>
      <c r="G101" s="58" t="n"/>
      <c r="H101" s="58" t="n"/>
      <c r="I101" s="58" t="n"/>
      <c r="J101" s="58" t="n"/>
      <c r="K101" s="65" t="n"/>
      <c r="L101" s="61" t="n"/>
    </row>
    <row r="102" ht="15.75" customHeight="1" s="114">
      <c r="A102" s="51" t="n"/>
      <c r="B102" s="52" t="n"/>
      <c r="C102" s="52" t="n"/>
      <c r="D102" s="53" t="n"/>
      <c r="E102" s="54" t="n"/>
      <c r="F102" s="52" t="n"/>
      <c r="G102" s="52" t="n"/>
      <c r="H102" s="52" t="n"/>
      <c r="I102" s="52" t="n"/>
      <c r="J102" s="52" t="n"/>
      <c r="K102" s="55" t="n"/>
      <c r="L102" s="56" t="n"/>
    </row>
    <row r="103" ht="15.75" customHeight="1" s="114">
      <c r="A103" s="57" t="n"/>
      <c r="B103" s="58" t="n"/>
      <c r="C103" s="58" t="n"/>
      <c r="D103" s="64" t="n"/>
      <c r="E103" s="54" t="n"/>
      <c r="F103" s="58" t="n"/>
      <c r="G103" s="58" t="n"/>
      <c r="H103" s="58" t="n"/>
      <c r="I103" s="58" t="n"/>
      <c r="J103" s="58" t="n"/>
      <c r="K103" s="65" t="n"/>
      <c r="L103" s="61" t="n"/>
    </row>
    <row r="104" ht="15.75" customHeight="1" s="114">
      <c r="A104" s="51" t="n"/>
      <c r="B104" s="52" t="n"/>
      <c r="C104" s="52" t="n"/>
      <c r="D104" s="53" t="n"/>
      <c r="E104" s="54" t="n"/>
      <c r="F104" s="52" t="n"/>
      <c r="G104" s="52" t="n"/>
      <c r="H104" s="52" t="n"/>
      <c r="I104" s="52" t="n"/>
      <c r="J104" s="52" t="n"/>
      <c r="K104" s="55" t="n"/>
      <c r="L104" s="56" t="n"/>
    </row>
    <row r="105" ht="15.75" customHeight="1" s="114">
      <c r="A105" s="57" t="n"/>
      <c r="B105" s="58" t="n"/>
      <c r="C105" s="58" t="n"/>
      <c r="D105" s="64" t="n"/>
      <c r="E105" s="54" t="n"/>
      <c r="F105" s="58" t="n"/>
      <c r="G105" s="58" t="n"/>
      <c r="H105" s="58" t="n"/>
      <c r="I105" s="58" t="n"/>
      <c r="J105" s="58" t="n"/>
      <c r="K105" s="65" t="n"/>
      <c r="L105" s="61" t="n"/>
    </row>
    <row r="106" ht="15.75" customHeight="1" s="114">
      <c r="A106" s="51" t="n"/>
      <c r="B106" s="52" t="n"/>
      <c r="C106" s="52" t="n"/>
      <c r="D106" s="53" t="n"/>
      <c r="E106" s="54" t="n"/>
      <c r="F106" s="52" t="n"/>
      <c r="G106" s="52" t="n"/>
      <c r="H106" s="52" t="n"/>
      <c r="I106" s="52" t="n"/>
      <c r="J106" s="52" t="n"/>
      <c r="K106" s="55" t="n"/>
      <c r="L106" s="56" t="n"/>
    </row>
    <row r="107" ht="15.75" customHeight="1" s="114">
      <c r="A107" s="57" t="n"/>
      <c r="B107" s="58" t="n"/>
      <c r="C107" s="58" t="n"/>
      <c r="D107" s="64" t="n"/>
      <c r="E107" s="54" t="n"/>
      <c r="F107" s="58" t="n"/>
      <c r="G107" s="58" t="n"/>
      <c r="H107" s="58" t="n"/>
      <c r="I107" s="58" t="n"/>
      <c r="J107" s="58" t="n"/>
      <c r="K107" s="65" t="n"/>
      <c r="L107" s="61" t="n"/>
    </row>
    <row r="108" ht="15.75" customHeight="1" s="114">
      <c r="A108" s="51" t="n"/>
      <c r="B108" s="52" t="n"/>
      <c r="C108" s="52" t="n"/>
      <c r="D108" s="53" t="n"/>
      <c r="E108" s="54" t="n"/>
      <c r="F108" s="52" t="n"/>
      <c r="G108" s="52" t="n"/>
      <c r="H108" s="52" t="n"/>
      <c r="I108" s="52" t="n"/>
      <c r="J108" s="52" t="n"/>
      <c r="K108" s="55" t="n"/>
      <c r="L108" s="56" t="n"/>
    </row>
    <row r="109" ht="15.75" customHeight="1" s="114">
      <c r="A109" s="57" t="n"/>
      <c r="B109" s="58" t="n"/>
      <c r="C109" s="58" t="n"/>
      <c r="D109" s="64" t="n"/>
      <c r="E109" s="62" t="n"/>
      <c r="F109" s="58" t="n"/>
      <c r="G109" s="58" t="n"/>
      <c r="H109" s="58" t="n"/>
      <c r="I109" s="58" t="n"/>
      <c r="J109" s="58" t="n"/>
      <c r="K109" s="65" t="n"/>
      <c r="L109" s="61" t="n"/>
    </row>
    <row r="110" ht="15.75" customHeight="1" s="114">
      <c r="A110" s="51" t="n"/>
      <c r="B110" s="52" t="n"/>
      <c r="C110" s="52" t="n"/>
      <c r="D110" s="53" t="n"/>
      <c r="E110" s="63" t="n"/>
      <c r="F110" s="52" t="n"/>
      <c r="G110" s="52" t="n"/>
      <c r="H110" s="52" t="n"/>
      <c r="I110" s="52" t="n"/>
      <c r="J110" s="52" t="n"/>
      <c r="K110" s="55" t="n"/>
      <c r="L110" s="56" t="n"/>
    </row>
    <row r="111" ht="15.75" customHeight="1" s="114">
      <c r="A111" s="57" t="n"/>
      <c r="B111" s="58" t="n"/>
      <c r="C111" s="58" t="n"/>
      <c r="D111" s="64" t="n"/>
      <c r="E111" s="54" t="n"/>
      <c r="F111" s="58" t="n"/>
      <c r="G111" s="58" t="n"/>
      <c r="H111" s="58" t="n"/>
      <c r="I111" s="58" t="n"/>
      <c r="J111" s="58" t="n"/>
      <c r="K111" s="65" t="n"/>
      <c r="L111" s="61" t="n"/>
    </row>
    <row r="112" ht="15.75" customHeight="1" s="114">
      <c r="A112" s="51" t="n"/>
      <c r="B112" s="52" t="n"/>
      <c r="C112" s="52" t="n"/>
      <c r="D112" s="53" t="n"/>
      <c r="E112" s="54" t="n"/>
      <c r="F112" s="52" t="n"/>
      <c r="G112" s="52" t="n"/>
      <c r="H112" s="52" t="n"/>
      <c r="I112" s="52" t="n"/>
      <c r="J112" s="52" t="n"/>
      <c r="K112" s="55" t="n"/>
      <c r="L112" s="56" t="n"/>
    </row>
    <row r="113" ht="15.75" customHeight="1" s="114">
      <c r="A113" s="57" t="n"/>
      <c r="B113" s="58" t="n"/>
      <c r="C113" s="58" t="n"/>
      <c r="D113" s="64" t="n"/>
      <c r="E113" s="54" t="n"/>
      <c r="F113" s="58" t="n"/>
      <c r="G113" s="58" t="n"/>
      <c r="H113" s="58" t="n"/>
      <c r="I113" s="58" t="n"/>
      <c r="J113" s="58" t="n"/>
      <c r="K113" s="65" t="n"/>
      <c r="L113" s="61" t="n"/>
    </row>
    <row r="114" ht="15.75" customHeight="1" s="114">
      <c r="A114" s="51" t="n"/>
      <c r="B114" s="52" t="n"/>
      <c r="C114" s="52" t="n"/>
      <c r="D114" s="53" t="n"/>
      <c r="E114" s="54" t="n"/>
      <c r="F114" s="52" t="n"/>
      <c r="G114" s="52" t="n"/>
      <c r="H114" s="52" t="n"/>
      <c r="I114" s="52" t="n"/>
      <c r="J114" s="52" t="n"/>
      <c r="K114" s="55" t="n"/>
      <c r="L114" s="56" t="n"/>
    </row>
    <row r="115" ht="15.75" customHeight="1" s="114">
      <c r="A115" s="57" t="n"/>
      <c r="B115" s="58" t="n"/>
      <c r="C115" s="58" t="n"/>
      <c r="D115" s="64" t="n"/>
      <c r="E115" s="54" t="n"/>
      <c r="F115" s="58" t="n"/>
      <c r="G115" s="58" t="n"/>
      <c r="H115" s="58" t="n"/>
      <c r="I115" s="58" t="n"/>
      <c r="J115" s="58" t="n"/>
      <c r="K115" s="65" t="n"/>
      <c r="L115" s="61" t="n"/>
    </row>
    <row r="116" ht="15.75" customHeight="1" s="114">
      <c r="A116" s="51" t="n"/>
      <c r="B116" s="52" t="n"/>
      <c r="C116" s="52" t="n"/>
      <c r="D116" s="53" t="n"/>
      <c r="E116" s="54" t="n"/>
      <c r="F116" s="52" t="n"/>
      <c r="G116" s="52" t="n"/>
      <c r="H116" s="52" t="n"/>
      <c r="I116" s="52" t="n"/>
      <c r="J116" s="52" t="n"/>
      <c r="K116" s="55" t="n"/>
      <c r="L116" s="56" t="n"/>
    </row>
    <row r="117" ht="15.75" customHeight="1" s="114">
      <c r="A117" s="57" t="n"/>
      <c r="B117" s="58" t="n"/>
      <c r="C117" s="58" t="n"/>
      <c r="D117" s="64" t="n"/>
      <c r="E117" s="54" t="n"/>
      <c r="F117" s="58" t="n"/>
      <c r="G117" s="58" t="n"/>
      <c r="H117" s="58" t="n"/>
      <c r="I117" s="58" t="n"/>
      <c r="J117" s="58" t="n"/>
      <c r="K117" s="65" t="n"/>
      <c r="L117" s="61" t="n"/>
    </row>
    <row r="118" ht="15.75" customHeight="1" s="114">
      <c r="A118" s="51" t="n"/>
      <c r="B118" s="52" t="n"/>
      <c r="C118" s="52" t="n"/>
      <c r="D118" s="53" t="n"/>
      <c r="E118" s="54" t="n"/>
      <c r="F118" s="52" t="n"/>
      <c r="G118" s="52" t="n"/>
      <c r="H118" s="52" t="n"/>
      <c r="I118" s="52" t="n"/>
      <c r="J118" s="52" t="n"/>
      <c r="K118" s="55" t="n"/>
      <c r="L118" s="56" t="n"/>
    </row>
    <row r="119" ht="15.75" customHeight="1" s="114">
      <c r="A119" s="57" t="n"/>
      <c r="B119" s="58" t="n"/>
      <c r="C119" s="58" t="n"/>
      <c r="D119" s="64" t="n"/>
      <c r="E119" s="54" t="n"/>
      <c r="F119" s="58" t="n"/>
      <c r="G119" s="58" t="n"/>
      <c r="H119" s="58" t="n"/>
      <c r="I119" s="58" t="n"/>
      <c r="J119" s="58" t="n"/>
      <c r="K119" s="65" t="n"/>
      <c r="L119" s="61" t="n"/>
    </row>
    <row r="120" ht="15.75" customHeight="1" s="114">
      <c r="A120" s="51" t="n"/>
      <c r="B120" s="52" t="n"/>
      <c r="C120" s="52" t="n"/>
      <c r="D120" s="53" t="n"/>
      <c r="E120" s="54" t="n"/>
      <c r="F120" s="52" t="n"/>
      <c r="G120" s="52" t="n"/>
      <c r="H120" s="52" t="n"/>
      <c r="I120" s="52" t="n"/>
      <c r="J120" s="52" t="n"/>
      <c r="K120" s="55" t="n"/>
      <c r="L120" s="56" t="n"/>
    </row>
    <row r="121" ht="15.75" customHeight="1" s="114">
      <c r="A121" s="57" t="n"/>
      <c r="B121" s="58" t="n"/>
      <c r="C121" s="58" t="n"/>
      <c r="D121" s="64" t="n"/>
      <c r="E121" s="54" t="n"/>
      <c r="F121" s="58" t="n"/>
      <c r="G121" s="58" t="n"/>
      <c r="H121" s="58" t="n"/>
      <c r="I121" s="58" t="n"/>
      <c r="J121" s="58" t="n"/>
      <c r="K121" s="65" t="n"/>
      <c r="L121" s="61" t="n"/>
    </row>
    <row r="122" ht="15.75" customHeight="1" s="114">
      <c r="A122" s="51" t="n"/>
      <c r="B122" s="52" t="n"/>
      <c r="C122" s="52" t="n"/>
      <c r="D122" s="53" t="n"/>
      <c r="E122" s="54" t="n"/>
      <c r="F122" s="52" t="n"/>
      <c r="G122" s="52" t="n"/>
      <c r="H122" s="52" t="n"/>
      <c r="I122" s="52" t="n"/>
      <c r="J122" s="52" t="n"/>
      <c r="K122" s="55" t="n"/>
      <c r="L122" s="56" t="n"/>
    </row>
    <row r="123" ht="15.75" customHeight="1" s="114">
      <c r="A123" s="57" t="n"/>
      <c r="B123" s="58" t="n"/>
      <c r="C123" s="58" t="n"/>
      <c r="D123" s="64" t="n"/>
      <c r="E123" s="62" t="n"/>
      <c r="F123" s="58" t="n"/>
      <c r="G123" s="58" t="n"/>
      <c r="H123" s="58" t="n"/>
      <c r="I123" s="58" t="n"/>
      <c r="J123" s="58" t="n"/>
      <c r="K123" s="65" t="n"/>
      <c r="L123" s="61" t="n"/>
    </row>
    <row r="124" ht="15.75" customHeight="1" s="114">
      <c r="A124" s="51" t="n"/>
      <c r="B124" s="52" t="n"/>
      <c r="C124" s="52" t="n"/>
      <c r="D124" s="53" t="n"/>
      <c r="E124" s="62" t="n"/>
      <c r="F124" s="52" t="n"/>
      <c r="G124" s="52" t="n"/>
      <c r="H124" s="52" t="n"/>
      <c r="I124" s="52" t="n"/>
      <c r="J124" s="52" t="n"/>
      <c r="K124" s="55" t="n"/>
      <c r="L124" s="56" t="n"/>
    </row>
    <row r="125" ht="15.75" customHeight="1" s="114">
      <c r="A125" s="57" t="n"/>
      <c r="B125" s="58" t="n"/>
      <c r="C125" s="58" t="n"/>
      <c r="D125" s="64" t="n"/>
      <c r="E125" s="63" t="n"/>
      <c r="F125" s="58" t="n"/>
      <c r="G125" s="58" t="n"/>
      <c r="H125" s="58" t="n"/>
      <c r="I125" s="58" t="n"/>
      <c r="J125" s="58" t="n"/>
      <c r="K125" s="65" t="n"/>
      <c r="L125" s="61" t="n"/>
    </row>
    <row r="126" ht="15.75" customHeight="1" s="114">
      <c r="A126" s="51" t="n"/>
      <c r="B126" s="52" t="n"/>
      <c r="C126" s="52" t="n"/>
      <c r="D126" s="53" t="n"/>
      <c r="E126" s="54" t="n"/>
      <c r="F126" s="52" t="n"/>
      <c r="G126" s="52" t="n"/>
      <c r="H126" s="52" t="n"/>
      <c r="I126" s="52" t="n"/>
      <c r="J126" s="52" t="n"/>
      <c r="K126" s="55" t="n"/>
      <c r="L126" s="56" t="n"/>
    </row>
    <row r="127" ht="15.75" customHeight="1" s="114">
      <c r="A127" s="57" t="n"/>
      <c r="B127" s="58" t="n"/>
      <c r="C127" s="58" t="n"/>
      <c r="D127" s="64" t="n"/>
      <c r="E127" s="54" t="n"/>
      <c r="F127" s="58" t="n"/>
      <c r="G127" s="58" t="n"/>
      <c r="H127" s="58" t="n"/>
      <c r="I127" s="58" t="n"/>
      <c r="J127" s="58" t="n"/>
      <c r="K127" s="65" t="n"/>
      <c r="L127" s="61" t="n"/>
    </row>
    <row r="128" ht="15.75" customHeight="1" s="114">
      <c r="A128" s="51" t="n"/>
      <c r="B128" s="52" t="n"/>
      <c r="C128" s="52" t="n"/>
      <c r="D128" s="53" t="n"/>
      <c r="E128" s="54" t="n"/>
      <c r="F128" s="52" t="n"/>
      <c r="G128" s="52" t="n"/>
      <c r="H128" s="52" t="n"/>
      <c r="I128" s="52" t="n"/>
      <c r="J128" s="52" t="n"/>
      <c r="K128" s="55" t="n"/>
      <c r="L128" s="56" t="n"/>
    </row>
    <row r="129" ht="15.75" customHeight="1" s="114">
      <c r="A129" s="57" t="n"/>
      <c r="B129" s="58" t="n"/>
      <c r="C129" s="58" t="n"/>
      <c r="D129" s="64" t="n"/>
      <c r="E129" s="54" t="n"/>
      <c r="F129" s="58" t="n"/>
      <c r="G129" s="58" t="n"/>
      <c r="H129" s="58" t="n"/>
      <c r="I129" s="58" t="n"/>
      <c r="J129" s="58" t="n"/>
      <c r="K129" s="65" t="n"/>
      <c r="L129" s="61" t="n"/>
    </row>
    <row r="130" ht="15.75" customHeight="1" s="114">
      <c r="A130" s="51" t="n"/>
      <c r="B130" s="52" t="n"/>
      <c r="C130" s="52" t="n"/>
      <c r="D130" s="53" t="n"/>
      <c r="E130" s="54" t="n"/>
      <c r="F130" s="52" t="n"/>
      <c r="G130" s="52" t="n"/>
      <c r="H130" s="52" t="n"/>
      <c r="I130" s="52" t="n"/>
      <c r="J130" s="52" t="n"/>
      <c r="K130" s="55" t="n"/>
      <c r="L130" s="56" t="n"/>
    </row>
    <row r="131" ht="15.75" customHeight="1" s="114">
      <c r="A131" s="57" t="n"/>
      <c r="B131" s="58" t="n"/>
      <c r="C131" s="58" t="n"/>
      <c r="D131" s="64" t="n"/>
      <c r="E131" s="54" t="n"/>
      <c r="F131" s="58" t="n"/>
      <c r="G131" s="58" t="n"/>
      <c r="H131" s="58" t="n"/>
      <c r="I131" s="58" t="n"/>
      <c r="J131" s="58" t="n"/>
      <c r="K131" s="65" t="n"/>
      <c r="L131" s="61" t="n"/>
    </row>
    <row r="132" ht="15.75" customHeight="1" s="114">
      <c r="A132" s="51" t="n"/>
      <c r="B132" s="52" t="n"/>
      <c r="C132" s="52" t="n"/>
      <c r="D132" s="53" t="n"/>
      <c r="E132" s="54" t="n"/>
      <c r="F132" s="52" t="n"/>
      <c r="G132" s="52" t="n"/>
      <c r="H132" s="52" t="n"/>
      <c r="I132" s="52" t="n"/>
      <c r="J132" s="52" t="n"/>
      <c r="K132" s="55" t="n"/>
      <c r="L132" s="56" t="n"/>
    </row>
    <row r="133" ht="15.75" customHeight="1" s="114">
      <c r="A133" s="57" t="n"/>
      <c r="B133" s="58" t="n"/>
      <c r="C133" s="58" t="n"/>
      <c r="D133" s="64" t="n"/>
      <c r="E133" s="54" t="n"/>
      <c r="F133" s="58" t="n"/>
      <c r="G133" s="58" t="n"/>
      <c r="H133" s="58" t="n"/>
      <c r="I133" s="58" t="n"/>
      <c r="J133" s="58" t="n"/>
      <c r="K133" s="65" t="n"/>
      <c r="L133" s="61" t="n"/>
    </row>
    <row r="134" ht="15.75" customHeight="1" s="114">
      <c r="A134" s="51" t="n"/>
      <c r="B134" s="52" t="n"/>
      <c r="C134" s="52" t="n"/>
      <c r="D134" s="53" t="n"/>
      <c r="E134" s="54" t="n"/>
      <c r="F134" s="52" t="n"/>
      <c r="G134" s="52" t="n"/>
      <c r="H134" s="52" t="n"/>
      <c r="I134" s="52" t="n"/>
      <c r="J134" s="52" t="n"/>
      <c r="K134" s="55" t="n"/>
      <c r="L134" s="56" t="n"/>
    </row>
    <row r="135" ht="15.75" customHeight="1" s="114">
      <c r="A135" s="57" t="n"/>
      <c r="B135" s="58" t="n"/>
      <c r="C135" s="58" t="n"/>
      <c r="D135" s="64" t="n"/>
      <c r="E135" s="63" t="n"/>
      <c r="F135" s="58" t="n"/>
      <c r="G135" s="58" t="n"/>
      <c r="H135" s="58" t="n"/>
      <c r="I135" s="58" t="n"/>
      <c r="J135" s="58" t="n"/>
      <c r="K135" s="65" t="n"/>
      <c r="L135" s="61" t="n"/>
    </row>
    <row r="136" ht="15.75" customHeight="1" s="114">
      <c r="A136" s="51" t="n"/>
      <c r="B136" s="52" t="n"/>
      <c r="C136" s="52" t="n"/>
      <c r="D136" s="53" t="n"/>
      <c r="E136" s="54" t="n"/>
      <c r="F136" s="52" t="n"/>
      <c r="G136" s="52" t="n"/>
      <c r="H136" s="52" t="n"/>
      <c r="I136" s="52" t="n"/>
      <c r="J136" s="52" t="n"/>
      <c r="K136" s="55" t="n"/>
      <c r="L136" s="56" t="n"/>
    </row>
    <row r="137" ht="15.75" customHeight="1" s="114">
      <c r="A137" s="57" t="n"/>
      <c r="B137" s="58" t="n"/>
      <c r="C137" s="58" t="n"/>
      <c r="D137" s="64" t="n"/>
      <c r="E137" s="54" t="n"/>
      <c r="F137" s="58" t="n"/>
      <c r="G137" s="58" t="n"/>
      <c r="H137" s="58" t="n"/>
      <c r="I137" s="58" t="n"/>
      <c r="J137" s="58" t="n"/>
      <c r="K137" s="65" t="n"/>
      <c r="L137" s="61" t="n"/>
    </row>
    <row r="138" ht="15.75" customHeight="1" s="114">
      <c r="A138" s="51" t="n"/>
      <c r="B138" s="52" t="n"/>
      <c r="C138" s="52" t="n"/>
      <c r="D138" s="53" t="n"/>
      <c r="E138" s="54" t="n"/>
      <c r="F138" s="52" t="n"/>
      <c r="G138" s="52" t="n"/>
      <c r="H138" s="52" t="n"/>
      <c r="I138" s="52" t="n"/>
      <c r="J138" s="52" t="n"/>
      <c r="K138" s="55" t="n"/>
      <c r="L138" s="56" t="n"/>
    </row>
    <row r="139" ht="15.75" customHeight="1" s="114">
      <c r="A139" s="57" t="n"/>
      <c r="B139" s="58" t="n"/>
      <c r="C139" s="58" t="n"/>
      <c r="D139" s="64" t="n"/>
      <c r="E139" s="54" t="n"/>
      <c r="F139" s="58" t="n"/>
      <c r="G139" s="58" t="n"/>
      <c r="H139" s="58" t="n"/>
      <c r="I139" s="58" t="n"/>
      <c r="J139" s="58" t="n"/>
      <c r="K139" s="65" t="n"/>
      <c r="L139" s="61" t="n"/>
    </row>
    <row r="140" ht="15.75" customHeight="1" s="114">
      <c r="A140" s="51" t="n"/>
      <c r="B140" s="52" t="n"/>
      <c r="C140" s="52" t="n"/>
      <c r="D140" s="53" t="n"/>
      <c r="E140" s="54" t="n"/>
      <c r="F140" s="52" t="n"/>
      <c r="G140" s="52" t="n"/>
      <c r="H140" s="52" t="n"/>
      <c r="I140" s="52" t="n"/>
      <c r="J140" s="52" t="n"/>
      <c r="K140" s="55" t="n"/>
      <c r="L140" s="56" t="n"/>
    </row>
    <row r="141" ht="15.75" customHeight="1" s="114">
      <c r="A141" s="57" t="n"/>
      <c r="B141" s="58" t="n"/>
      <c r="C141" s="58" t="n"/>
      <c r="D141" s="64" t="n"/>
      <c r="E141" s="54" t="n"/>
      <c r="F141" s="58" t="n"/>
      <c r="G141" s="58" t="n"/>
      <c r="H141" s="58" t="n"/>
      <c r="I141" s="58" t="n"/>
      <c r="J141" s="58" t="n"/>
      <c r="K141" s="65" t="n"/>
      <c r="L141" s="61" t="n"/>
    </row>
    <row r="142" ht="15.75" customHeight="1" s="114">
      <c r="A142" s="51" t="n"/>
      <c r="B142" s="52" t="n"/>
      <c r="C142" s="52" t="n"/>
      <c r="D142" s="53" t="n"/>
      <c r="E142" s="54" t="n"/>
      <c r="F142" s="52" t="n"/>
      <c r="G142" s="52" t="n"/>
      <c r="H142" s="52" t="n"/>
      <c r="I142" s="52" t="n"/>
      <c r="J142" s="52" t="n"/>
      <c r="K142" s="55" t="n"/>
      <c r="L142" s="56" t="n"/>
    </row>
    <row r="143" ht="15.75" customHeight="1" s="114">
      <c r="A143" s="57" t="n"/>
      <c r="B143" s="58" t="n"/>
      <c r="C143" s="58" t="n"/>
      <c r="D143" s="64" t="n"/>
      <c r="E143" s="54" t="n"/>
      <c r="F143" s="58" t="n"/>
      <c r="G143" s="58" t="n"/>
      <c r="H143" s="58" t="n"/>
      <c r="I143" s="58" t="n"/>
      <c r="J143" s="58" t="n"/>
      <c r="K143" s="65" t="n"/>
      <c r="L143" s="61" t="n"/>
    </row>
    <row r="144" ht="15.75" customHeight="1" s="114">
      <c r="A144" s="51" t="n"/>
      <c r="B144" s="52" t="n"/>
      <c r="C144" s="52" t="n"/>
      <c r="D144" s="53" t="n"/>
      <c r="E144" s="54" t="n"/>
      <c r="F144" s="52" t="n"/>
      <c r="G144" s="52" t="n"/>
      <c r="H144" s="52" t="n"/>
      <c r="I144" s="52" t="n"/>
      <c r="J144" s="52" t="n"/>
      <c r="K144" s="55" t="n"/>
      <c r="L144" s="56" t="n"/>
    </row>
    <row r="145" ht="15.75" customHeight="1" s="114">
      <c r="A145" s="57" t="n"/>
      <c r="B145" s="58" t="n"/>
      <c r="C145" s="58" t="n"/>
      <c r="D145" s="64" t="n"/>
      <c r="E145" s="54" t="n"/>
      <c r="F145" s="58" t="n"/>
      <c r="G145" s="58" t="n"/>
      <c r="H145" s="58" t="n"/>
      <c r="I145" s="58" t="n"/>
      <c r="J145" s="58" t="n"/>
      <c r="K145" s="65" t="n"/>
      <c r="L145" s="61" t="n"/>
    </row>
    <row r="146" ht="15.75" customHeight="1" s="114">
      <c r="A146" s="51" t="n"/>
      <c r="B146" s="52" t="n"/>
      <c r="C146" s="52" t="n"/>
      <c r="D146" s="53" t="n"/>
      <c r="E146" s="54" t="n"/>
      <c r="F146" s="52" t="n"/>
      <c r="G146" s="52" t="n"/>
      <c r="H146" s="52" t="n"/>
      <c r="I146" s="52" t="n"/>
      <c r="J146" s="52" t="n"/>
      <c r="K146" s="55" t="n"/>
      <c r="L146" s="56" t="n"/>
    </row>
    <row r="147" ht="15.75" customHeight="1" s="114">
      <c r="A147" s="57" t="n"/>
      <c r="B147" s="58" t="n"/>
      <c r="C147" s="58" t="n"/>
      <c r="D147" s="64" t="n"/>
      <c r="E147" s="54" t="n"/>
      <c r="F147" s="58" t="n"/>
      <c r="G147" s="58" t="n"/>
      <c r="H147" s="58" t="n"/>
      <c r="I147" s="58" t="n"/>
      <c r="J147" s="58" t="n"/>
      <c r="K147" s="65" t="n"/>
      <c r="L147" s="61" t="n"/>
    </row>
    <row r="148" ht="15.75" customHeight="1" s="114">
      <c r="A148" s="51" t="n"/>
      <c r="B148" s="52" t="n"/>
      <c r="C148" s="52" t="n"/>
      <c r="D148" s="53" t="n"/>
      <c r="E148" s="54" t="n"/>
      <c r="F148" s="52" t="n"/>
      <c r="G148" s="52" t="n"/>
      <c r="H148" s="52" t="n"/>
      <c r="I148" s="52" t="n"/>
      <c r="J148" s="52" t="n"/>
      <c r="K148" s="55" t="n"/>
      <c r="L148" s="56" t="n"/>
    </row>
    <row r="149" ht="15.75" customHeight="1" s="114">
      <c r="A149" s="57" t="n"/>
      <c r="B149" s="58" t="n"/>
      <c r="C149" s="58" t="n"/>
      <c r="D149" s="64" t="n"/>
      <c r="E149" s="54" t="n"/>
      <c r="F149" s="58" t="n"/>
      <c r="G149" s="58" t="n"/>
      <c r="H149" s="58" t="n"/>
      <c r="I149" s="58" t="n"/>
      <c r="J149" s="58" t="n"/>
      <c r="K149" s="65" t="n"/>
      <c r="L149" s="61" t="n"/>
    </row>
    <row r="150" ht="15.75" customHeight="1" s="114">
      <c r="A150" s="51" t="n"/>
      <c r="B150" s="52" t="n"/>
      <c r="C150" s="52" t="n"/>
      <c r="D150" s="53" t="n"/>
      <c r="E150" s="54" t="n"/>
      <c r="F150" s="52" t="n"/>
      <c r="G150" s="52" t="n"/>
      <c r="H150" s="52" t="n"/>
      <c r="I150" s="52" t="n"/>
      <c r="J150" s="52" t="n"/>
      <c r="K150" s="55" t="n"/>
      <c r="L150" s="56" t="n"/>
    </row>
    <row r="151" ht="15.75" customHeight="1" s="114">
      <c r="A151" s="57" t="n"/>
      <c r="B151" s="58" t="n"/>
      <c r="C151" s="58" t="n"/>
      <c r="D151" s="64" t="n"/>
      <c r="E151" s="62" t="n"/>
      <c r="F151" s="58" t="n"/>
      <c r="G151" s="58" t="n"/>
      <c r="H151" s="58" t="n"/>
      <c r="I151" s="58" t="n"/>
      <c r="J151" s="58" t="n"/>
      <c r="K151" s="65" t="n"/>
      <c r="L151" s="61" t="n"/>
    </row>
    <row r="152" ht="15.75" customHeight="1" s="114">
      <c r="A152" s="51" t="n"/>
      <c r="B152" s="52" t="n"/>
      <c r="C152" s="52" t="n"/>
      <c r="D152" s="53" t="n"/>
      <c r="E152" s="54" t="n"/>
      <c r="F152" s="52" t="n"/>
      <c r="G152" s="52" t="n"/>
      <c r="H152" s="52" t="n"/>
      <c r="I152" s="52" t="n"/>
      <c r="J152" s="52" t="n"/>
      <c r="K152" s="55" t="n"/>
      <c r="L152" s="56" t="n"/>
    </row>
    <row r="153" ht="15.75" customHeight="1" s="114">
      <c r="A153" s="57" t="n"/>
      <c r="B153" s="58" t="n"/>
      <c r="C153" s="58" t="n"/>
      <c r="D153" s="64" t="n"/>
      <c r="E153" s="54" t="n"/>
      <c r="F153" s="58" t="n"/>
      <c r="G153" s="58" t="n"/>
      <c r="H153" s="58" t="n"/>
      <c r="I153" s="58" t="n"/>
      <c r="J153" s="58" t="n"/>
      <c r="K153" s="65" t="n"/>
      <c r="L153" s="61" t="n"/>
    </row>
    <row r="154" ht="15.75" customHeight="1" s="114">
      <c r="A154" s="51" t="n"/>
      <c r="B154" s="52" t="n"/>
      <c r="C154" s="52" t="n"/>
      <c r="D154" s="53" t="n"/>
      <c r="E154" s="54" t="n"/>
      <c r="F154" s="52" t="n"/>
      <c r="G154" s="52" t="n"/>
      <c r="H154" s="52" t="n"/>
      <c r="I154" s="52" t="n"/>
      <c r="J154" s="52" t="n"/>
      <c r="K154" s="55" t="n"/>
      <c r="L154" s="56" t="n"/>
    </row>
    <row r="155" ht="15.75" customHeight="1" s="114">
      <c r="A155" s="57" t="n"/>
      <c r="B155" s="58" t="n"/>
      <c r="C155" s="58" t="n"/>
      <c r="D155" s="64" t="n"/>
      <c r="E155" s="54" t="n"/>
      <c r="F155" s="58" t="n"/>
      <c r="G155" s="58" t="n"/>
      <c r="H155" s="58" t="n"/>
      <c r="I155" s="58" t="n"/>
      <c r="J155" s="58" t="n"/>
      <c r="K155" s="65" t="n"/>
      <c r="L155" s="61" t="n"/>
    </row>
    <row r="156" ht="15.75" customHeight="1" s="114">
      <c r="A156" s="51" t="n"/>
      <c r="B156" s="52" t="n"/>
      <c r="C156" s="52" t="n"/>
      <c r="D156" s="53" t="n"/>
      <c r="E156" s="54" t="n"/>
      <c r="F156" s="52" t="n"/>
      <c r="G156" s="52" t="n"/>
      <c r="H156" s="52" t="n"/>
      <c r="I156" s="52" t="n"/>
      <c r="J156" s="52" t="n"/>
      <c r="K156" s="55" t="n"/>
      <c r="L156" s="56" t="n"/>
    </row>
    <row r="157" ht="15.75" customHeight="1" s="114">
      <c r="A157" s="57" t="n"/>
      <c r="B157" s="58" t="n"/>
      <c r="C157" s="58" t="n"/>
      <c r="D157" s="64" t="n"/>
      <c r="E157" s="54" t="n"/>
      <c r="F157" s="58" t="n"/>
      <c r="G157" s="58" t="n"/>
      <c r="H157" s="58" t="n"/>
      <c r="I157" s="58" t="n"/>
      <c r="J157" s="58" t="n"/>
      <c r="K157" s="65" t="n"/>
      <c r="L157" s="61" t="n"/>
    </row>
    <row r="158" ht="15.75" customHeight="1" s="114">
      <c r="A158" s="51" t="n"/>
      <c r="B158" s="52" t="n"/>
      <c r="C158" s="52" t="n"/>
      <c r="D158" s="53" t="n"/>
      <c r="E158" s="54" t="n"/>
      <c r="F158" s="52" t="n"/>
      <c r="G158" s="52" t="n"/>
      <c r="H158" s="52" t="n"/>
      <c r="I158" s="52" t="n"/>
      <c r="J158" s="52" t="n"/>
      <c r="K158" s="55" t="n"/>
      <c r="L158" s="56" t="n"/>
    </row>
    <row r="159" ht="15.75" customHeight="1" s="114">
      <c r="A159" s="57" t="n"/>
      <c r="B159" s="58" t="n"/>
      <c r="C159" s="58" t="n"/>
      <c r="D159" s="64" t="n"/>
      <c r="E159" s="54" t="n"/>
      <c r="F159" s="58" t="n"/>
      <c r="G159" s="58" t="n"/>
      <c r="H159" s="58" t="n"/>
      <c r="I159" s="58" t="n"/>
      <c r="J159" s="58" t="n"/>
      <c r="K159" s="65" t="n"/>
      <c r="L159" s="61" t="n"/>
    </row>
    <row r="160" ht="15.75" customHeight="1" s="114">
      <c r="A160" s="51" t="n"/>
      <c r="B160" s="52" t="n"/>
      <c r="C160" s="52" t="n"/>
      <c r="D160" s="53" t="n"/>
      <c r="E160" s="54" t="n"/>
      <c r="F160" s="52" t="n"/>
      <c r="G160" s="52" t="n"/>
      <c r="H160" s="52" t="n"/>
      <c r="I160" s="52" t="n"/>
      <c r="J160" s="52" t="n"/>
      <c r="K160" s="55" t="n"/>
      <c r="L160" s="56" t="n"/>
    </row>
    <row r="161" ht="15.75" customHeight="1" s="114">
      <c r="A161" s="57" t="n"/>
      <c r="B161" s="58" t="n"/>
      <c r="C161" s="58" t="n"/>
      <c r="D161" s="64" t="n"/>
      <c r="E161" s="63" t="n"/>
      <c r="F161" s="58" t="n"/>
      <c r="G161" s="58" t="n"/>
      <c r="H161" s="58" t="n"/>
      <c r="I161" s="58" t="n"/>
      <c r="J161" s="58" t="n"/>
      <c r="K161" s="65" t="n"/>
      <c r="L161" s="61" t="n"/>
    </row>
    <row r="162" ht="15.75" customHeight="1" s="114">
      <c r="A162" s="51" t="n"/>
      <c r="B162" s="52" t="n"/>
      <c r="C162" s="52" t="n"/>
      <c r="D162" s="53" t="n"/>
      <c r="E162" s="54" t="n"/>
      <c r="F162" s="52" t="n"/>
      <c r="G162" s="52" t="n"/>
      <c r="H162" s="52" t="n"/>
      <c r="I162" s="52" t="n"/>
      <c r="J162" s="52" t="n"/>
      <c r="K162" s="55" t="n"/>
      <c r="L162" s="56" t="n"/>
    </row>
    <row r="163" ht="15.75" customHeight="1" s="114">
      <c r="A163" s="57" t="n"/>
      <c r="B163" s="58" t="n"/>
      <c r="C163" s="58" t="n"/>
      <c r="D163" s="64" t="n"/>
      <c r="E163" s="54" t="n"/>
      <c r="F163" s="58" t="n"/>
      <c r="G163" s="58" t="n"/>
      <c r="H163" s="58" t="n"/>
      <c r="I163" s="58" t="n"/>
      <c r="J163" s="58" t="n"/>
      <c r="K163" s="65" t="n"/>
      <c r="L163" s="61" t="n"/>
    </row>
    <row r="164" ht="15.75" customHeight="1" s="114">
      <c r="A164" s="51" t="n"/>
      <c r="B164" s="52" t="n"/>
      <c r="C164" s="52" t="n"/>
      <c r="D164" s="53" t="n"/>
      <c r="E164" s="54" t="n"/>
      <c r="F164" s="52" t="n"/>
      <c r="G164" s="52" t="n"/>
      <c r="H164" s="52" t="n"/>
      <c r="I164" s="52" t="n"/>
      <c r="J164" s="52" t="n"/>
      <c r="K164" s="55" t="n"/>
      <c r="L164" s="56" t="n"/>
    </row>
    <row r="165" ht="15.75" customHeight="1" s="114">
      <c r="A165" s="57" t="n"/>
      <c r="B165" s="58" t="n"/>
      <c r="C165" s="58" t="n"/>
      <c r="D165" s="64" t="n"/>
      <c r="E165" s="54" t="n"/>
      <c r="F165" s="58" t="n"/>
      <c r="G165" s="58" t="n"/>
      <c r="H165" s="58" t="n"/>
      <c r="I165" s="58" t="n"/>
      <c r="J165" s="58" t="n"/>
      <c r="K165" s="65" t="n"/>
      <c r="L165" s="61" t="n"/>
    </row>
    <row r="166" ht="15.75" customHeight="1" s="114">
      <c r="A166" s="51" t="n"/>
      <c r="B166" s="52" t="n"/>
      <c r="C166" s="52" t="n"/>
      <c r="D166" s="53" t="n"/>
      <c r="E166" s="54" t="n"/>
      <c r="F166" s="52" t="n"/>
      <c r="G166" s="52" t="n"/>
      <c r="H166" s="52" t="n"/>
      <c r="I166" s="52" t="n"/>
      <c r="J166" s="52" t="n"/>
      <c r="K166" s="55" t="n"/>
      <c r="L166" s="56" t="n"/>
    </row>
    <row r="167" ht="15.75" customHeight="1" s="114">
      <c r="A167" s="57" t="n"/>
      <c r="B167" s="58" t="n"/>
      <c r="C167" s="58" t="n"/>
      <c r="D167" s="64" t="n"/>
      <c r="E167" s="54" t="n"/>
      <c r="F167" s="58" t="n"/>
      <c r="G167" s="58" t="n"/>
      <c r="H167" s="58" t="n"/>
      <c r="I167" s="58" t="n"/>
      <c r="J167" s="58" t="n"/>
      <c r="K167" s="65" t="n"/>
      <c r="L167" s="61" t="n"/>
    </row>
    <row r="168" ht="15.75" customHeight="1" s="114">
      <c r="A168" s="51" t="n"/>
      <c r="B168" s="52" t="n"/>
      <c r="C168" s="52" t="n"/>
      <c r="D168" s="53" t="n"/>
      <c r="E168" s="54" t="n"/>
      <c r="F168" s="52" t="n"/>
      <c r="G168" s="52" t="n"/>
      <c r="H168" s="52" t="n"/>
      <c r="I168" s="52" t="n"/>
      <c r="J168" s="52" t="n"/>
      <c r="K168" s="55" t="n"/>
      <c r="L168" s="56" t="n"/>
    </row>
    <row r="169" ht="15.75" customHeight="1" s="114">
      <c r="A169" s="57" t="n"/>
      <c r="B169" s="58" t="n"/>
      <c r="C169" s="58" t="n"/>
      <c r="D169" s="64" t="n"/>
      <c r="E169" s="54" t="n"/>
      <c r="F169" s="58" t="n"/>
      <c r="G169" s="58" t="n"/>
      <c r="H169" s="58" t="n"/>
      <c r="I169" s="58" t="n"/>
      <c r="J169" s="58" t="n"/>
      <c r="K169" s="65" t="n"/>
      <c r="L169" s="61" t="n"/>
    </row>
    <row r="170" ht="15.75" customHeight="1" s="114">
      <c r="A170" s="51" t="n"/>
      <c r="B170" s="52" t="n"/>
      <c r="C170" s="52" t="n"/>
      <c r="D170" s="53" t="n"/>
      <c r="E170" s="63" t="n"/>
      <c r="F170" s="52" t="n"/>
      <c r="G170" s="52" t="n"/>
      <c r="H170" s="52" t="n"/>
      <c r="I170" s="52" t="n"/>
      <c r="J170" s="52" t="n"/>
      <c r="K170" s="55" t="n"/>
      <c r="L170" s="56" t="n"/>
    </row>
    <row r="171" ht="15.75" customHeight="1" s="114">
      <c r="A171" s="57" t="n"/>
      <c r="B171" s="58" t="n"/>
      <c r="C171" s="58" t="n"/>
      <c r="D171" s="64" t="n"/>
      <c r="E171" s="54" t="n"/>
      <c r="F171" s="58" t="n"/>
      <c r="G171" s="58" t="n"/>
      <c r="H171" s="58" t="n"/>
      <c r="I171" s="58" t="n"/>
      <c r="J171" s="58" t="n"/>
      <c r="K171" s="65" t="n"/>
      <c r="L171" s="61" t="n"/>
    </row>
    <row r="172" ht="15.75" customHeight="1" s="114">
      <c r="A172" s="51" t="n"/>
      <c r="B172" s="52" t="n"/>
      <c r="C172" s="52" t="n"/>
      <c r="D172" s="53" t="n"/>
      <c r="E172" s="54" t="n"/>
      <c r="F172" s="52" t="n"/>
      <c r="G172" s="52" t="n"/>
      <c r="H172" s="52" t="n"/>
      <c r="I172" s="52" t="n"/>
      <c r="J172" s="52" t="n"/>
      <c r="K172" s="55" t="n"/>
      <c r="L172" s="56" t="n"/>
    </row>
    <row r="173" ht="15.75" customHeight="1" s="114">
      <c r="A173" s="57" t="n"/>
      <c r="B173" s="58" t="n"/>
      <c r="C173" s="58" t="n"/>
      <c r="D173" s="64" t="n"/>
      <c r="E173" s="62" t="n"/>
      <c r="F173" s="58" t="n"/>
      <c r="G173" s="58" t="n"/>
      <c r="H173" s="58" t="n"/>
      <c r="I173" s="58" t="n"/>
      <c r="J173" s="58" t="n"/>
      <c r="K173" s="65" t="n"/>
      <c r="L173" s="61" t="n"/>
    </row>
    <row r="174" ht="15.75" customHeight="1" s="114">
      <c r="A174" s="51" t="n"/>
      <c r="B174" s="52" t="n"/>
      <c r="C174" s="52" t="n"/>
      <c r="D174" s="53" t="n"/>
      <c r="E174" s="54" t="n"/>
      <c r="F174" s="52" t="n"/>
      <c r="G174" s="52" t="n"/>
      <c r="H174" s="52" t="n"/>
      <c r="I174" s="52" t="n"/>
      <c r="J174" s="52" t="n"/>
      <c r="K174" s="55" t="n"/>
      <c r="L174" s="56" t="n"/>
    </row>
    <row r="175" ht="15.75" customHeight="1" s="114">
      <c r="A175" s="57" t="n"/>
      <c r="B175" s="58" t="n"/>
      <c r="C175" s="58" t="n"/>
      <c r="D175" s="64" t="n"/>
      <c r="E175" s="54" t="n"/>
      <c r="F175" s="58" t="n"/>
      <c r="G175" s="58" t="n"/>
      <c r="H175" s="58" t="n"/>
      <c r="I175" s="58" t="n"/>
      <c r="J175" s="58" t="n"/>
      <c r="K175" s="65" t="n"/>
      <c r="L175" s="61" t="n"/>
    </row>
    <row r="176" ht="15.75" customHeight="1" s="114">
      <c r="A176" s="51" t="n"/>
      <c r="B176" s="52" t="n"/>
      <c r="C176" s="52" t="n"/>
      <c r="D176" s="53" t="n"/>
      <c r="E176" s="54" t="n"/>
      <c r="F176" s="52" t="n"/>
      <c r="G176" s="52" t="n"/>
      <c r="H176" s="52" t="n"/>
      <c r="I176" s="52" t="n"/>
      <c r="J176" s="52" t="n"/>
      <c r="K176" s="55" t="n"/>
      <c r="L176" s="56" t="n"/>
    </row>
    <row r="177" ht="15.75" customHeight="1" s="114">
      <c r="A177" s="57" t="n"/>
      <c r="B177" s="58" t="n"/>
      <c r="C177" s="58" t="n"/>
      <c r="D177" s="64" t="n"/>
      <c r="E177" s="54" t="n"/>
      <c r="F177" s="58" t="n"/>
      <c r="G177" s="58" t="n"/>
      <c r="H177" s="58" t="n"/>
      <c r="I177" s="58" t="n"/>
      <c r="J177" s="58" t="n"/>
      <c r="K177" s="65" t="n"/>
      <c r="L177" s="61" t="n"/>
    </row>
    <row r="178" ht="15.75" customHeight="1" s="114">
      <c r="A178" s="51" t="n"/>
      <c r="B178" s="52" t="n"/>
      <c r="C178" s="52" t="n"/>
      <c r="D178" s="53" t="n"/>
      <c r="E178" s="54" t="n"/>
      <c r="F178" s="52" t="n"/>
      <c r="G178" s="52" t="n"/>
      <c r="H178" s="52" t="n"/>
      <c r="I178" s="52" t="n"/>
      <c r="J178" s="52" t="n"/>
      <c r="K178" s="55" t="n"/>
      <c r="L178" s="56" t="n"/>
    </row>
    <row r="179" ht="15.75" customHeight="1" s="114">
      <c r="A179" s="57" t="n"/>
      <c r="B179" s="58" t="n"/>
      <c r="C179" s="58" t="n"/>
      <c r="D179" s="64" t="n"/>
      <c r="E179" s="54" t="n"/>
      <c r="F179" s="58" t="n"/>
      <c r="G179" s="58" t="n"/>
      <c r="H179" s="58" t="n"/>
      <c r="I179" s="58" t="n"/>
      <c r="J179" s="58" t="n"/>
      <c r="K179" s="65" t="n"/>
      <c r="L179" s="61" t="n"/>
    </row>
    <row r="180" ht="15.75" customHeight="1" s="114">
      <c r="A180" s="51" t="n"/>
      <c r="B180" s="52" t="n"/>
      <c r="C180" s="52" t="n"/>
      <c r="D180" s="53" t="n"/>
      <c r="E180" s="63" t="n"/>
      <c r="F180" s="52" t="n"/>
      <c r="G180" s="52" t="n"/>
      <c r="H180" s="52" t="n"/>
      <c r="I180" s="52" t="n"/>
      <c r="J180" s="52" t="n"/>
      <c r="K180" s="55" t="n"/>
      <c r="L180" s="56" t="n"/>
    </row>
    <row r="181" ht="15.75" customHeight="1" s="114">
      <c r="A181" s="57" t="n"/>
      <c r="B181" s="58" t="n"/>
      <c r="C181" s="58" t="n"/>
      <c r="D181" s="64" t="n"/>
      <c r="E181" s="54" t="n"/>
      <c r="F181" s="58" t="n"/>
      <c r="G181" s="58" t="n"/>
      <c r="H181" s="58" t="n"/>
      <c r="I181" s="58" t="n"/>
      <c r="J181" s="58" t="n"/>
      <c r="K181" s="65" t="n"/>
      <c r="L181" s="61" t="n"/>
    </row>
    <row r="182" ht="15.75" customHeight="1" s="114">
      <c r="A182" s="51" t="n"/>
      <c r="B182" s="52" t="n"/>
      <c r="C182" s="52" t="n"/>
      <c r="D182" s="53" t="n"/>
      <c r="E182" s="54" t="n"/>
      <c r="F182" s="52" t="n"/>
      <c r="G182" s="52" t="n"/>
      <c r="H182" s="52" t="n"/>
      <c r="I182" s="52" t="n"/>
      <c r="J182" s="52" t="n"/>
      <c r="K182" s="55" t="n"/>
      <c r="L182" s="56" t="n"/>
    </row>
    <row r="183" ht="15.75" customHeight="1" s="114">
      <c r="A183" s="57" t="n"/>
      <c r="B183" s="58" t="n"/>
      <c r="C183" s="58" t="n"/>
      <c r="D183" s="64" t="n"/>
      <c r="E183" s="54" t="n"/>
      <c r="F183" s="58" t="n"/>
      <c r="G183" s="58" t="n"/>
      <c r="H183" s="58" t="n"/>
      <c r="I183" s="58" t="n"/>
      <c r="J183" s="58" t="n"/>
      <c r="K183" s="65" t="n"/>
      <c r="L183" s="61" t="n"/>
    </row>
    <row r="184" ht="15.75" customHeight="1" s="114">
      <c r="A184" s="51" t="n"/>
      <c r="B184" s="52" t="n"/>
      <c r="C184" s="52" t="n"/>
      <c r="D184" s="53" t="n"/>
      <c r="E184" s="54" t="n"/>
      <c r="F184" s="52" t="n"/>
      <c r="G184" s="52" t="n"/>
      <c r="H184" s="52" t="n"/>
      <c r="I184" s="52" t="n"/>
      <c r="J184" s="52" t="n"/>
      <c r="K184" s="55" t="n"/>
      <c r="L184" s="56" t="n"/>
    </row>
    <row r="185" ht="15.75" customHeight="1" s="114">
      <c r="A185" s="57" t="n"/>
      <c r="B185" s="58" t="n"/>
      <c r="C185" s="58" t="n"/>
      <c r="D185" s="64" t="n"/>
      <c r="E185" s="54" t="n"/>
      <c r="F185" s="58" t="n"/>
      <c r="G185" s="58" t="n"/>
      <c r="H185" s="58" t="n"/>
      <c r="I185" s="58" t="n"/>
      <c r="J185" s="58" t="n"/>
      <c r="K185" s="65" t="n"/>
      <c r="L185" s="61" t="n"/>
    </row>
    <row r="186" ht="15.75" customHeight="1" s="114">
      <c r="A186" s="51" t="n"/>
      <c r="B186" s="52" t="n"/>
      <c r="C186" s="52" t="n"/>
      <c r="D186" s="53" t="n"/>
      <c r="E186" s="54" t="n"/>
      <c r="F186" s="52" t="n"/>
      <c r="G186" s="52" t="n"/>
      <c r="H186" s="52" t="n"/>
      <c r="I186" s="52" t="n"/>
      <c r="J186" s="52" t="n"/>
      <c r="K186" s="55" t="n"/>
      <c r="L186" s="56" t="n"/>
    </row>
    <row r="187" ht="15.75" customHeight="1" s="114">
      <c r="A187" s="57" t="n"/>
      <c r="B187" s="58" t="n"/>
      <c r="C187" s="58" t="n"/>
      <c r="D187" s="64" t="n"/>
      <c r="E187" s="54" t="n"/>
      <c r="F187" s="58" t="n"/>
      <c r="G187" s="58" t="n"/>
      <c r="H187" s="58" t="n"/>
      <c r="I187" s="58" t="n"/>
      <c r="J187" s="58" t="n"/>
      <c r="K187" s="65" t="n"/>
      <c r="L187" s="61" t="n"/>
    </row>
    <row r="188" ht="15.75" customHeight="1" s="114">
      <c r="A188" s="51" t="n"/>
      <c r="B188" s="52" t="n"/>
      <c r="C188" s="52" t="n"/>
      <c r="D188" s="53" t="n"/>
      <c r="E188" s="54" t="n"/>
      <c r="F188" s="52" t="n"/>
      <c r="G188" s="52" t="n"/>
      <c r="H188" s="52" t="n"/>
      <c r="I188" s="52" t="n"/>
      <c r="J188" s="52" t="n"/>
      <c r="K188" s="55" t="n"/>
      <c r="L188" s="56" t="n"/>
    </row>
    <row r="189" ht="15.75" customHeight="1" s="114">
      <c r="A189" s="57" t="n"/>
      <c r="B189" s="58" t="n"/>
      <c r="C189" s="58" t="n"/>
      <c r="D189" s="64" t="n"/>
      <c r="E189" s="54" t="n"/>
      <c r="F189" s="58" t="n"/>
      <c r="G189" s="58" t="n"/>
      <c r="H189" s="58" t="n"/>
      <c r="I189" s="58" t="n"/>
      <c r="J189" s="58" t="n"/>
      <c r="K189" s="65" t="n"/>
      <c r="L189" s="61" t="n"/>
    </row>
    <row r="190" ht="15.75" customHeight="1" s="114">
      <c r="A190" s="51" t="n"/>
      <c r="B190" s="52" t="n"/>
      <c r="C190" s="52" t="n"/>
      <c r="D190" s="53" t="n"/>
      <c r="E190" s="54" t="n"/>
      <c r="F190" s="52" t="n"/>
      <c r="G190" s="52" t="n"/>
      <c r="H190" s="52" t="n"/>
      <c r="I190" s="52" t="n"/>
      <c r="J190" s="52" t="n"/>
      <c r="K190" s="55" t="n"/>
      <c r="L190" s="56" t="n"/>
    </row>
    <row r="191" ht="15.75" customHeight="1" s="114">
      <c r="A191" s="57" t="n"/>
      <c r="B191" s="58" t="n"/>
      <c r="C191" s="58" t="n"/>
      <c r="D191" s="64" t="n"/>
      <c r="E191" s="54" t="n"/>
      <c r="F191" s="58" t="n"/>
      <c r="G191" s="58" t="n"/>
      <c r="H191" s="58" t="n"/>
      <c r="I191" s="58" t="n"/>
      <c r="J191" s="58" t="n"/>
      <c r="K191" s="65" t="n"/>
      <c r="L191" s="61" t="n"/>
    </row>
    <row r="192" ht="15.75" customHeight="1" s="114">
      <c r="A192" s="51" t="n"/>
      <c r="B192" s="52" t="n"/>
      <c r="C192" s="52" t="n"/>
      <c r="D192" s="53" t="n"/>
      <c r="E192" s="54" t="n"/>
      <c r="F192" s="52" t="n"/>
      <c r="G192" s="52" t="n"/>
      <c r="H192" s="52" t="n"/>
      <c r="I192" s="52" t="n"/>
      <c r="J192" s="52" t="n"/>
      <c r="K192" s="55" t="n"/>
      <c r="L192" s="56" t="n"/>
    </row>
    <row r="193" ht="15.75" customHeight="1" s="114">
      <c r="A193" s="57" t="n"/>
      <c r="B193" s="58" t="n"/>
      <c r="C193" s="58" t="n"/>
      <c r="D193" s="64" t="n"/>
      <c r="E193" s="54" t="n"/>
      <c r="F193" s="58" t="n"/>
      <c r="G193" s="58" t="n"/>
      <c r="H193" s="58" t="n"/>
      <c r="I193" s="58" t="n"/>
      <c r="J193" s="58" t="n"/>
      <c r="K193" s="65" t="n"/>
      <c r="L193" s="61" t="n"/>
    </row>
    <row r="194" ht="15.75" customHeight="1" s="114">
      <c r="A194" s="51" t="n"/>
      <c r="B194" s="52" t="n"/>
      <c r="C194" s="52" t="n"/>
      <c r="D194" s="53" t="n"/>
      <c r="E194" s="62" t="n"/>
      <c r="F194" s="52" t="n"/>
      <c r="G194" s="52" t="n"/>
      <c r="H194" s="52" t="n"/>
      <c r="I194" s="52" t="n"/>
      <c r="J194" s="52" t="n"/>
      <c r="K194" s="55" t="n"/>
      <c r="L194" s="56" t="n"/>
    </row>
    <row r="195" ht="15.75" customHeight="1" s="114">
      <c r="A195" s="57" t="n"/>
      <c r="B195" s="58" t="n"/>
      <c r="C195" s="58" t="n"/>
      <c r="D195" s="64" t="n"/>
      <c r="E195" s="63" t="n"/>
      <c r="F195" s="58" t="n"/>
      <c r="G195" s="58" t="n"/>
      <c r="H195" s="58" t="n"/>
      <c r="I195" s="58" t="n"/>
      <c r="J195" s="58" t="n"/>
      <c r="K195" s="65" t="n"/>
      <c r="L195" s="61" t="n"/>
    </row>
    <row r="196" ht="15.75" customHeight="1" s="114">
      <c r="A196" s="51" t="n"/>
      <c r="B196" s="52" t="n"/>
      <c r="C196" s="52" t="n"/>
      <c r="D196" s="53" t="n"/>
      <c r="E196" s="54" t="n"/>
      <c r="F196" s="52" t="n"/>
      <c r="G196" s="52" t="n"/>
      <c r="H196" s="52" t="n"/>
      <c r="I196" s="52" t="n"/>
      <c r="J196" s="52" t="n"/>
      <c r="K196" s="55" t="n"/>
      <c r="L196" s="56" t="n"/>
    </row>
    <row r="197" ht="15.75" customHeight="1" s="114">
      <c r="A197" s="57" t="n"/>
      <c r="B197" s="58" t="n"/>
      <c r="C197" s="58" t="n"/>
      <c r="D197" s="64" t="n"/>
      <c r="E197" s="54" t="n"/>
      <c r="F197" s="58" t="n"/>
      <c r="G197" s="58" t="n"/>
      <c r="H197" s="58" t="n"/>
      <c r="I197" s="58" t="n"/>
      <c r="J197" s="58" t="n"/>
      <c r="K197" s="65" t="n"/>
      <c r="L197" s="61" t="n"/>
    </row>
    <row r="198" ht="15.75" customHeight="1" s="114">
      <c r="A198" s="51" t="n"/>
      <c r="B198" s="52" t="n"/>
      <c r="C198" s="52" t="n"/>
      <c r="D198" s="53" t="n"/>
      <c r="E198" s="54" t="n"/>
      <c r="F198" s="52" t="n"/>
      <c r="G198" s="52" t="n"/>
      <c r="H198" s="52" t="n"/>
      <c r="I198" s="52" t="n"/>
      <c r="J198" s="52" t="n"/>
      <c r="K198" s="55" t="n"/>
      <c r="L198" s="56" t="n"/>
    </row>
    <row r="199" ht="15.75" customHeight="1" s="114">
      <c r="A199" s="57" t="n"/>
      <c r="B199" s="58" t="n"/>
      <c r="C199" s="58" t="n"/>
      <c r="D199" s="64" t="n"/>
      <c r="E199" s="54" t="n"/>
      <c r="F199" s="58" t="n"/>
      <c r="G199" s="58" t="n"/>
      <c r="H199" s="58" t="n"/>
      <c r="I199" s="58" t="n"/>
      <c r="J199" s="58" t="n"/>
      <c r="K199" s="65" t="n"/>
      <c r="L199" s="61" t="n"/>
    </row>
    <row r="200" ht="15.75" customHeight="1" s="114">
      <c r="A200" s="51" t="n"/>
      <c r="B200" s="52" t="n"/>
      <c r="C200" s="52" t="n"/>
      <c r="D200" s="53" t="n"/>
      <c r="E200" s="54" t="n"/>
      <c r="F200" s="52" t="n"/>
      <c r="G200" s="52" t="n"/>
      <c r="H200" s="52" t="n"/>
      <c r="I200" s="52" t="n"/>
      <c r="J200" s="52" t="n"/>
      <c r="K200" s="55" t="n"/>
      <c r="L200" s="56" t="n"/>
    </row>
    <row r="201" ht="15.75" customHeight="1" s="114">
      <c r="A201" s="57" t="n"/>
      <c r="B201" s="58" t="n"/>
      <c r="C201" s="58" t="n"/>
      <c r="D201" s="64" t="n"/>
      <c r="E201" s="54" t="n"/>
      <c r="F201" s="58" t="n"/>
      <c r="G201" s="58" t="n"/>
      <c r="H201" s="58" t="n"/>
      <c r="I201" s="58" t="n"/>
      <c r="J201" s="58" t="n"/>
      <c r="K201" s="65" t="n"/>
      <c r="L201" s="61" t="n"/>
    </row>
    <row r="202" ht="15.75" customHeight="1" s="114">
      <c r="A202" s="51" t="n"/>
      <c r="B202" s="52" t="n"/>
      <c r="C202" s="52" t="n"/>
      <c r="D202" s="53" t="n"/>
      <c r="E202" s="54" t="n"/>
      <c r="F202" s="52" t="n"/>
      <c r="G202" s="52" t="n"/>
      <c r="H202" s="52" t="n"/>
      <c r="I202" s="52" t="n"/>
      <c r="J202" s="52" t="n"/>
      <c r="K202" s="55" t="n"/>
      <c r="L202" s="56" t="n"/>
    </row>
    <row r="203" ht="15.75" customHeight="1" s="114">
      <c r="A203" s="57" t="n"/>
      <c r="B203" s="58" t="n"/>
      <c r="C203" s="58" t="n"/>
      <c r="D203" s="64" t="n"/>
      <c r="E203" s="54" t="n"/>
      <c r="F203" s="58" t="n"/>
      <c r="G203" s="58" t="n"/>
      <c r="H203" s="58" t="n"/>
      <c r="I203" s="58" t="n"/>
      <c r="J203" s="58" t="n"/>
      <c r="K203" s="65" t="n"/>
      <c r="L203" s="61" t="n"/>
    </row>
    <row r="204" ht="15.75" customHeight="1" s="114">
      <c r="A204" s="51" t="n"/>
      <c r="B204" s="52" t="n"/>
      <c r="C204" s="52" t="n"/>
      <c r="D204" s="53" t="n"/>
      <c r="E204" s="54" t="n"/>
      <c r="F204" s="52" t="n"/>
      <c r="G204" s="52" t="n"/>
      <c r="H204" s="52" t="n"/>
      <c r="I204" s="52" t="n"/>
      <c r="J204" s="52" t="n"/>
      <c r="K204" s="55" t="n"/>
      <c r="L204" s="56" t="n"/>
    </row>
    <row r="205" ht="15.75" customHeight="1" s="114">
      <c r="A205" s="57" t="n"/>
      <c r="B205" s="58" t="n"/>
      <c r="C205" s="58" t="n"/>
      <c r="D205" s="64" t="n"/>
      <c r="E205" s="54" t="n"/>
      <c r="F205" s="58" t="n"/>
      <c r="G205" s="58" t="n"/>
      <c r="H205" s="58" t="n"/>
      <c r="I205" s="58" t="n"/>
      <c r="J205" s="58" t="n"/>
      <c r="K205" s="65" t="n"/>
      <c r="L205" s="61" t="n"/>
    </row>
    <row r="206" ht="15.75" customHeight="1" s="114">
      <c r="A206" s="51" t="n"/>
      <c r="B206" s="52" t="n"/>
      <c r="C206" s="52" t="n"/>
      <c r="D206" s="53" t="n"/>
      <c r="E206" s="54" t="n"/>
      <c r="F206" s="52" t="n"/>
      <c r="G206" s="52" t="n"/>
      <c r="H206" s="52" t="n"/>
      <c r="I206" s="52" t="n"/>
      <c r="J206" s="52" t="n"/>
      <c r="K206" s="55" t="n"/>
      <c r="L206" s="56" t="n"/>
    </row>
    <row r="207" ht="15.75" customHeight="1" s="114">
      <c r="A207" s="57" t="n"/>
      <c r="B207" s="58" t="n"/>
      <c r="C207" s="58" t="n"/>
      <c r="D207" s="64" t="n"/>
      <c r="E207" s="54" t="n"/>
      <c r="F207" s="58" t="n"/>
      <c r="G207" s="58" t="n"/>
      <c r="H207" s="58" t="n"/>
      <c r="I207" s="58" t="n"/>
      <c r="J207" s="58" t="n"/>
      <c r="K207" s="65" t="n"/>
      <c r="L207" s="61" t="n"/>
    </row>
    <row r="208" ht="15.75" customHeight="1" s="114">
      <c r="A208" s="51" t="n"/>
      <c r="B208" s="52" t="n"/>
      <c r="C208" s="52" t="n"/>
      <c r="D208" s="53" t="n"/>
      <c r="E208" s="63" t="n"/>
      <c r="F208" s="52" t="n"/>
      <c r="G208" s="52" t="n"/>
      <c r="H208" s="52" t="n"/>
      <c r="I208" s="52" t="n"/>
      <c r="J208" s="52" t="n"/>
      <c r="K208" s="55" t="n"/>
      <c r="L208" s="56" t="n"/>
    </row>
    <row r="209" ht="15.75" customHeight="1" s="114">
      <c r="A209" s="57" t="n"/>
      <c r="B209" s="58" t="n"/>
      <c r="C209" s="58" t="n"/>
      <c r="D209" s="64" t="n"/>
      <c r="E209" s="54" t="n"/>
      <c r="F209" s="58" t="n"/>
      <c r="G209" s="58" t="n"/>
      <c r="H209" s="58" t="n"/>
      <c r="I209" s="58" t="n"/>
      <c r="J209" s="58" t="n"/>
      <c r="K209" s="65" t="n"/>
      <c r="L209" s="61" t="n"/>
    </row>
    <row r="210" ht="15.75" customHeight="1" s="114">
      <c r="A210" s="51" t="n"/>
      <c r="B210" s="52" t="n"/>
      <c r="C210" s="52" t="n"/>
      <c r="D210" s="53" t="n"/>
      <c r="E210" s="54" t="n"/>
      <c r="F210" s="52" t="n"/>
      <c r="G210" s="52" t="n"/>
      <c r="H210" s="52" t="n"/>
      <c r="I210" s="52" t="n"/>
      <c r="J210" s="52" t="n"/>
      <c r="K210" s="55" t="n"/>
      <c r="L210" s="56" t="n"/>
    </row>
    <row r="211" ht="15.75" customHeight="1" s="114">
      <c r="A211" s="57" t="n"/>
      <c r="B211" s="58" t="n"/>
      <c r="C211" s="58" t="n"/>
      <c r="D211" s="64" t="n"/>
      <c r="E211" s="54" t="n"/>
      <c r="F211" s="58" t="n"/>
      <c r="G211" s="58" t="n"/>
      <c r="H211" s="58" t="n"/>
      <c r="I211" s="58" t="n"/>
      <c r="J211" s="58" t="n"/>
      <c r="K211" s="65" t="n"/>
      <c r="L211" s="61" t="n"/>
    </row>
    <row r="212" ht="15.75" customHeight="1" s="114">
      <c r="A212" s="51" t="n"/>
      <c r="B212" s="52" t="n"/>
      <c r="C212" s="52" t="n"/>
      <c r="D212" s="53" t="n"/>
      <c r="E212" s="54" t="n"/>
      <c r="F212" s="52" t="n"/>
      <c r="G212" s="52" t="n"/>
      <c r="H212" s="52" t="n"/>
      <c r="I212" s="52" t="n"/>
      <c r="J212" s="52" t="n"/>
      <c r="K212" s="55" t="n"/>
      <c r="L212" s="56" t="n"/>
    </row>
    <row r="213" ht="15.75" customHeight="1" s="114">
      <c r="A213" s="57" t="n"/>
      <c r="B213" s="58" t="n"/>
      <c r="C213" s="58" t="n"/>
      <c r="D213" s="64" t="n"/>
      <c r="E213" s="54" t="n"/>
      <c r="F213" s="58" t="n"/>
      <c r="G213" s="58" t="n"/>
      <c r="H213" s="58" t="n"/>
      <c r="I213" s="58" t="n"/>
      <c r="J213" s="58" t="n"/>
      <c r="K213" s="65" t="n"/>
      <c r="L213" s="61" t="n"/>
    </row>
    <row r="214" ht="15.75" customHeight="1" s="114">
      <c r="A214" s="51" t="n"/>
      <c r="B214" s="52" t="n"/>
      <c r="C214" s="52" t="n"/>
      <c r="D214" s="53" t="n"/>
      <c r="E214" s="54" t="n"/>
      <c r="F214" s="52" t="n"/>
      <c r="G214" s="52" t="n"/>
      <c r="H214" s="52" t="n"/>
      <c r="I214" s="52" t="n"/>
      <c r="J214" s="52" t="n"/>
      <c r="K214" s="55" t="n"/>
      <c r="L214" s="56" t="n"/>
    </row>
    <row r="215" ht="15.75" customHeight="1" s="114">
      <c r="A215" s="57" t="n"/>
      <c r="B215" s="58" t="n"/>
      <c r="C215" s="58" t="n"/>
      <c r="D215" s="64" t="n"/>
      <c r="E215" s="54" t="n"/>
      <c r="F215" s="58" t="n"/>
      <c r="G215" s="58" t="n"/>
      <c r="H215" s="58" t="n"/>
      <c r="I215" s="58" t="n"/>
      <c r="J215" s="58" t="n"/>
      <c r="K215" s="65" t="n"/>
      <c r="L215" s="61" t="n"/>
    </row>
    <row r="216" ht="15.75" customHeight="1" s="114">
      <c r="A216" s="51" t="n"/>
      <c r="B216" s="52" t="n"/>
      <c r="C216" s="52" t="n"/>
      <c r="D216" s="53" t="n"/>
      <c r="E216" s="54" t="n"/>
      <c r="F216" s="52" t="n"/>
      <c r="G216" s="52" t="n"/>
      <c r="H216" s="52" t="n"/>
      <c r="I216" s="52" t="n"/>
      <c r="J216" s="52" t="n"/>
      <c r="K216" s="55" t="n"/>
      <c r="L216" s="56" t="n"/>
    </row>
    <row r="217" ht="15.75" customHeight="1" s="114">
      <c r="A217" s="57" t="n"/>
      <c r="B217" s="58" t="n"/>
      <c r="C217" s="58" t="n"/>
      <c r="D217" s="64" t="n"/>
      <c r="E217" s="54" t="n"/>
      <c r="F217" s="58" t="n"/>
      <c r="G217" s="58" t="n"/>
      <c r="H217" s="58" t="n"/>
      <c r="I217" s="58" t="n"/>
      <c r="J217" s="58" t="n"/>
      <c r="K217" s="65" t="n"/>
      <c r="L217" s="61" t="n"/>
    </row>
    <row r="218" ht="15.75" customHeight="1" s="114">
      <c r="A218" s="51" t="n"/>
      <c r="B218" s="52" t="n"/>
      <c r="C218" s="52" t="n"/>
      <c r="D218" s="53" t="n"/>
      <c r="E218" s="54" t="n"/>
      <c r="F218" s="52" t="n"/>
      <c r="G218" s="52" t="n"/>
      <c r="H218" s="52" t="n"/>
      <c r="I218" s="52" t="n"/>
      <c r="J218" s="52" t="n"/>
      <c r="K218" s="55" t="n"/>
      <c r="L218" s="56" t="n"/>
    </row>
    <row r="219" ht="15.75" customHeight="1" s="114">
      <c r="A219" s="57" t="n"/>
      <c r="B219" s="58" t="n"/>
      <c r="C219" s="58" t="n"/>
      <c r="D219" s="64" t="n"/>
      <c r="E219" s="54" t="n"/>
      <c r="F219" s="58" t="n"/>
      <c r="G219" s="58" t="n"/>
      <c r="H219" s="58" t="n"/>
      <c r="I219" s="58" t="n"/>
      <c r="J219" s="58" t="n"/>
      <c r="K219" s="65" t="n"/>
      <c r="L219" s="61" t="n"/>
    </row>
    <row r="220" ht="15.75" customHeight="1" s="114">
      <c r="A220" s="51" t="n"/>
      <c r="B220" s="52" t="n"/>
      <c r="C220" s="52" t="n"/>
      <c r="D220" s="53" t="n"/>
      <c r="E220" s="54" t="n"/>
      <c r="F220" s="52" t="n"/>
      <c r="G220" s="52" t="n"/>
      <c r="H220" s="52" t="n"/>
      <c r="I220" s="52" t="n"/>
      <c r="J220" s="52" t="n"/>
      <c r="K220" s="55" t="n"/>
      <c r="L220" s="56" t="n"/>
    </row>
    <row r="221" ht="15.75" customHeight="1" s="114">
      <c r="A221" s="57" t="n"/>
      <c r="B221" s="58" t="n"/>
      <c r="C221" s="58" t="n"/>
      <c r="D221" s="64" t="n"/>
      <c r="E221" s="54" t="n"/>
      <c r="F221" s="58" t="n"/>
      <c r="G221" s="58" t="n"/>
      <c r="H221" s="58" t="n"/>
      <c r="I221" s="58" t="n"/>
      <c r="J221" s="58" t="n"/>
      <c r="K221" s="65" t="n"/>
      <c r="L221" s="61" t="n"/>
    </row>
    <row r="222" ht="15.75" customHeight="1" s="114">
      <c r="A222" s="51" t="n"/>
      <c r="B222" s="52" t="n"/>
      <c r="C222" s="52" t="n"/>
      <c r="D222" s="53" t="n"/>
      <c r="E222" s="54" t="n"/>
      <c r="F222" s="52" t="n"/>
      <c r="G222" s="52" t="n"/>
      <c r="H222" s="52" t="n"/>
      <c r="I222" s="52" t="n"/>
      <c r="J222" s="52" t="n"/>
      <c r="K222" s="55" t="n"/>
      <c r="L222" s="56" t="n"/>
    </row>
    <row r="223" ht="15.75" customHeight="1" s="114">
      <c r="A223" s="57" t="n"/>
      <c r="B223" s="58" t="n"/>
      <c r="C223" s="58" t="n"/>
      <c r="D223" s="64" t="n"/>
      <c r="E223" s="54" t="n"/>
      <c r="F223" s="58" t="n"/>
      <c r="G223" s="58" t="n"/>
      <c r="H223" s="58" t="n"/>
      <c r="I223" s="58" t="n"/>
      <c r="J223" s="58" t="n"/>
      <c r="K223" s="65" t="n"/>
      <c r="L223" s="61" t="n"/>
    </row>
    <row r="224" ht="15.75" customHeight="1" s="114">
      <c r="A224" s="51" t="n"/>
      <c r="B224" s="52" t="n"/>
      <c r="C224" s="52" t="n"/>
      <c r="D224" s="53" t="n"/>
      <c r="E224" s="54" t="n"/>
      <c r="F224" s="52" t="n"/>
      <c r="G224" s="52" t="n"/>
      <c r="H224" s="52" t="n"/>
      <c r="I224" s="52" t="n"/>
      <c r="J224" s="52" t="n"/>
      <c r="K224" s="55" t="n"/>
      <c r="L224" s="56" t="n"/>
    </row>
    <row r="225" ht="15.75" customHeight="1" s="114">
      <c r="A225" s="57" t="n"/>
      <c r="B225" s="58" t="n"/>
      <c r="C225" s="58" t="n"/>
      <c r="D225" s="64" t="n"/>
      <c r="E225" s="54" t="n"/>
      <c r="F225" s="58" t="n"/>
      <c r="G225" s="58" t="n"/>
      <c r="H225" s="58" t="n"/>
      <c r="I225" s="58" t="n"/>
      <c r="J225" s="58" t="n"/>
      <c r="K225" s="65" t="n"/>
      <c r="L225" s="61" t="n"/>
    </row>
    <row r="226" ht="15.75" customHeight="1" s="114">
      <c r="A226" s="51" t="n"/>
      <c r="B226" s="52" t="n"/>
      <c r="C226" s="52" t="n"/>
      <c r="D226" s="53" t="n"/>
      <c r="E226" s="54" t="n"/>
      <c r="F226" s="52" t="n"/>
      <c r="G226" s="52" t="n"/>
      <c r="H226" s="52" t="n"/>
      <c r="I226" s="52" t="n"/>
      <c r="J226" s="52" t="n"/>
      <c r="K226" s="55" t="n"/>
      <c r="L226" s="56" t="n"/>
    </row>
    <row r="227" ht="15.75" customHeight="1" s="114">
      <c r="A227" s="57" t="n"/>
      <c r="B227" s="58" t="n"/>
      <c r="C227" s="58" t="n"/>
      <c r="D227" s="64" t="n"/>
      <c r="E227" s="62" t="n"/>
      <c r="F227" s="58" t="n"/>
      <c r="G227" s="58" t="n"/>
      <c r="H227" s="58" t="n"/>
      <c r="I227" s="58" t="n"/>
      <c r="J227" s="58" t="n"/>
      <c r="K227" s="65" t="n"/>
      <c r="L227" s="61" t="n"/>
    </row>
    <row r="228" ht="15.75" customHeight="1" s="114">
      <c r="A228" s="51" t="n"/>
      <c r="B228" s="52" t="n"/>
      <c r="C228" s="52" t="n"/>
      <c r="D228" s="53" t="n"/>
      <c r="E228" s="63" t="n"/>
      <c r="F228" s="52" t="n"/>
      <c r="G228" s="52" t="n"/>
      <c r="H228" s="52" t="n"/>
      <c r="I228" s="52" t="n"/>
      <c r="J228" s="52" t="n"/>
      <c r="K228" s="55" t="n"/>
      <c r="L228" s="56" t="n"/>
    </row>
    <row r="229" ht="15.75" customHeight="1" s="114">
      <c r="A229" s="57" t="n"/>
      <c r="B229" s="58" t="n"/>
      <c r="C229" s="58" t="n"/>
      <c r="D229" s="64" t="n"/>
      <c r="E229" s="54" t="n"/>
      <c r="F229" s="58" t="n"/>
      <c r="G229" s="58" t="n"/>
      <c r="H229" s="58" t="n"/>
      <c r="I229" s="58" t="n"/>
      <c r="J229" s="58" t="n"/>
      <c r="K229" s="65" t="n"/>
      <c r="L229" s="61" t="n"/>
    </row>
    <row r="230" ht="15.75" customHeight="1" s="114">
      <c r="A230" s="51" t="n"/>
      <c r="B230" s="52" t="n"/>
      <c r="C230" s="52" t="n"/>
      <c r="D230" s="53" t="n"/>
      <c r="E230" s="54" t="n"/>
      <c r="F230" s="52" t="n"/>
      <c r="G230" s="52" t="n"/>
      <c r="H230" s="52" t="n"/>
      <c r="I230" s="52" t="n"/>
      <c r="J230" s="52" t="n"/>
      <c r="K230" s="55" t="n"/>
      <c r="L230" s="56" t="n"/>
    </row>
    <row r="231" ht="15.75" customHeight="1" s="114">
      <c r="A231" s="57" t="n"/>
      <c r="B231" s="58" t="n"/>
      <c r="C231" s="58" t="n"/>
      <c r="D231" s="64" t="n"/>
      <c r="E231" s="54" t="n"/>
      <c r="F231" s="58" t="n"/>
      <c r="G231" s="58" t="n"/>
      <c r="H231" s="58" t="n"/>
      <c r="I231" s="58" t="n"/>
      <c r="J231" s="58" t="n"/>
      <c r="K231" s="65" t="n"/>
      <c r="L231" s="61" t="n"/>
    </row>
    <row r="232" ht="15.75" customHeight="1" s="114">
      <c r="A232" s="51" t="n"/>
      <c r="B232" s="52" t="n"/>
      <c r="C232" s="52" t="n"/>
      <c r="D232" s="53" t="n"/>
      <c r="E232" s="54" t="n"/>
      <c r="F232" s="52" t="n"/>
      <c r="G232" s="52" t="n"/>
      <c r="H232" s="52" t="n"/>
      <c r="I232" s="52" t="n"/>
      <c r="J232" s="52" t="n"/>
      <c r="K232" s="55" t="n"/>
      <c r="L232" s="56" t="n"/>
    </row>
    <row r="233" ht="15.75" customHeight="1" s="114">
      <c r="A233" s="57" t="n"/>
      <c r="B233" s="58" t="n"/>
      <c r="C233" s="58" t="n"/>
      <c r="D233" s="64" t="n"/>
      <c r="E233" s="54" t="n"/>
      <c r="F233" s="58" t="n"/>
      <c r="G233" s="58" t="n"/>
      <c r="H233" s="58" t="n"/>
      <c r="I233" s="58" t="n"/>
      <c r="J233" s="58" t="n"/>
      <c r="K233" s="65" t="n"/>
      <c r="L233" s="61" t="n"/>
    </row>
    <row r="234" ht="15.75" customHeight="1" s="114">
      <c r="A234" s="51" t="n"/>
      <c r="B234" s="52" t="n"/>
      <c r="C234" s="52" t="n"/>
      <c r="D234" s="53" t="n"/>
      <c r="E234" s="54" t="n"/>
      <c r="F234" s="52" t="n"/>
      <c r="G234" s="52" t="n"/>
      <c r="H234" s="52" t="n"/>
      <c r="I234" s="52" t="n"/>
      <c r="J234" s="52" t="n"/>
      <c r="K234" s="55" t="n"/>
      <c r="L234" s="56" t="n"/>
    </row>
    <row r="235" ht="15.75" customHeight="1" s="114">
      <c r="A235" s="57" t="n"/>
      <c r="B235" s="58" t="n"/>
      <c r="C235" s="58" t="n"/>
      <c r="D235" s="64" t="n"/>
      <c r="E235" s="54" t="n"/>
      <c r="F235" s="58" t="n"/>
      <c r="G235" s="58" t="n"/>
      <c r="H235" s="58" t="n"/>
      <c r="I235" s="58" t="n"/>
      <c r="J235" s="58" t="n"/>
      <c r="K235" s="65" t="n"/>
      <c r="L235" s="61" t="n"/>
    </row>
    <row r="236" ht="15.75" customHeight="1" s="114">
      <c r="A236" s="51" t="n"/>
      <c r="B236" s="52" t="n"/>
      <c r="C236" s="52" t="n"/>
      <c r="D236" s="53" t="n"/>
      <c r="E236" s="54" t="n"/>
      <c r="F236" s="52" t="n"/>
      <c r="G236" s="52" t="n"/>
      <c r="H236" s="52" t="n"/>
      <c r="I236" s="52" t="n"/>
      <c r="J236" s="52" t="n"/>
      <c r="K236" s="55" t="n"/>
      <c r="L236" s="56" t="n"/>
    </row>
    <row r="237" ht="15.75" customHeight="1" s="114">
      <c r="A237" s="57" t="n"/>
      <c r="B237" s="58" t="n"/>
      <c r="C237" s="58" t="n"/>
      <c r="D237" s="64" t="n"/>
      <c r="E237" s="54" t="n"/>
      <c r="F237" s="58" t="n"/>
      <c r="G237" s="58" t="n"/>
      <c r="H237" s="58" t="n"/>
      <c r="I237" s="58" t="n"/>
      <c r="J237" s="58" t="n"/>
      <c r="K237" s="65" t="n"/>
      <c r="L237" s="61" t="n"/>
    </row>
    <row r="238" ht="15.75" customHeight="1" s="114">
      <c r="A238" s="51" t="n"/>
      <c r="B238" s="52" t="n"/>
      <c r="C238" s="52" t="n"/>
      <c r="D238" s="53" t="n"/>
      <c r="E238" s="54" t="n"/>
      <c r="F238" s="52" t="n"/>
      <c r="G238" s="52" t="n"/>
      <c r="H238" s="52" t="n"/>
      <c r="I238" s="52" t="n"/>
      <c r="J238" s="52" t="n"/>
      <c r="K238" s="55" t="n"/>
      <c r="L238" s="56" t="n"/>
    </row>
    <row r="239" ht="15.75" customHeight="1" s="114">
      <c r="A239" s="57" t="n"/>
      <c r="B239" s="58" t="n"/>
      <c r="C239" s="58" t="n"/>
      <c r="D239" s="64" t="n"/>
      <c r="E239" s="54" t="n"/>
      <c r="F239" s="58" t="n"/>
      <c r="G239" s="58" t="n"/>
      <c r="H239" s="58" t="n"/>
      <c r="I239" s="58" t="n"/>
      <c r="J239" s="58" t="n"/>
      <c r="K239" s="65" t="n"/>
      <c r="L239" s="61" t="n"/>
    </row>
    <row r="240" ht="15.75" customHeight="1" s="114">
      <c r="A240" s="51" t="n"/>
      <c r="B240" s="52" t="n"/>
      <c r="C240" s="52" t="n"/>
      <c r="D240" s="53" t="n"/>
      <c r="E240" s="54" t="n"/>
      <c r="F240" s="52" t="n"/>
      <c r="G240" s="52" t="n"/>
      <c r="H240" s="52" t="n"/>
      <c r="I240" s="52" t="n"/>
      <c r="J240" s="52" t="n"/>
      <c r="K240" s="55" t="n"/>
      <c r="L240" s="56" t="n"/>
    </row>
    <row r="241" ht="15.75" customHeight="1" s="114">
      <c r="A241" s="57" t="n"/>
      <c r="B241" s="58" t="n"/>
      <c r="C241" s="58" t="n"/>
      <c r="D241" s="64" t="n"/>
      <c r="E241" s="54" t="n"/>
      <c r="F241" s="58" t="n"/>
      <c r="G241" s="58" t="n"/>
      <c r="H241" s="58" t="n"/>
      <c r="I241" s="58" t="n"/>
      <c r="J241" s="58" t="n"/>
      <c r="K241" s="65" t="n"/>
      <c r="L241" s="61" t="n"/>
    </row>
    <row r="242" ht="15.75" customHeight="1" s="114">
      <c r="A242" s="51" t="n"/>
      <c r="B242" s="52" t="n"/>
      <c r="C242" s="52" t="n"/>
      <c r="D242" s="53" t="n"/>
      <c r="E242" s="54" t="n"/>
      <c r="F242" s="52" t="n"/>
      <c r="G242" s="52" t="n"/>
      <c r="H242" s="52" t="n"/>
      <c r="I242" s="52" t="n"/>
      <c r="J242" s="52" t="n"/>
      <c r="K242" s="55" t="n"/>
      <c r="L242" s="56" t="n"/>
    </row>
    <row r="243" ht="15.75" customHeight="1" s="114">
      <c r="A243" s="57" t="n"/>
      <c r="B243" s="58" t="n"/>
      <c r="C243" s="58" t="n"/>
      <c r="D243" s="64" t="n"/>
      <c r="E243" s="54" t="n"/>
      <c r="F243" s="58" t="n"/>
      <c r="G243" s="58" t="n"/>
      <c r="H243" s="58" t="n"/>
      <c r="I243" s="58" t="n"/>
      <c r="J243" s="58" t="n"/>
      <c r="K243" s="65" t="n"/>
      <c r="L243" s="61" t="n"/>
    </row>
    <row r="244" ht="15.75" customHeight="1" s="114">
      <c r="A244" s="51" t="n"/>
      <c r="B244" s="52" t="n"/>
      <c r="C244" s="52" t="n"/>
      <c r="D244" s="53" t="n"/>
      <c r="E244" s="54" t="n"/>
      <c r="F244" s="52" t="n"/>
      <c r="G244" s="52" t="n"/>
      <c r="H244" s="52" t="n"/>
      <c r="I244" s="52" t="n"/>
      <c r="J244" s="52" t="n"/>
      <c r="K244" s="55" t="n"/>
      <c r="L244" s="56" t="n"/>
    </row>
    <row r="245" ht="15.75" customHeight="1" s="114">
      <c r="A245" s="57" t="n"/>
      <c r="B245" s="58" t="n"/>
      <c r="C245" s="58" t="n"/>
      <c r="D245" s="64" t="n"/>
      <c r="E245" s="62" t="n"/>
      <c r="F245" s="58" t="n"/>
      <c r="G245" s="58" t="n"/>
      <c r="H245" s="58" t="n"/>
      <c r="I245" s="58" t="n"/>
      <c r="J245" s="58" t="n"/>
      <c r="K245" s="65" t="n"/>
      <c r="L245" s="61" t="n"/>
    </row>
    <row r="246" ht="15.75" customHeight="1" s="114">
      <c r="A246" s="51" t="n"/>
      <c r="B246" s="52" t="n"/>
      <c r="C246" s="52" t="n"/>
      <c r="D246" s="53" t="n"/>
      <c r="E246" s="63" t="n"/>
      <c r="F246" s="52" t="n"/>
      <c r="G246" s="52" t="n"/>
      <c r="H246" s="52" t="n"/>
      <c r="I246" s="52" t="n"/>
      <c r="J246" s="52" t="n"/>
      <c r="K246" s="55" t="n"/>
      <c r="L246" s="56" t="n"/>
    </row>
    <row r="247" ht="15.75" customHeight="1" s="114">
      <c r="A247" s="57" t="n"/>
      <c r="B247" s="58" t="n"/>
      <c r="C247" s="58" t="n"/>
      <c r="D247" s="64" t="n"/>
      <c r="E247" s="54" t="n"/>
      <c r="F247" s="58" t="n"/>
      <c r="G247" s="58" t="n"/>
      <c r="H247" s="58" t="n"/>
      <c r="I247" s="58" t="n"/>
      <c r="J247" s="58" t="n"/>
      <c r="K247" s="65" t="n"/>
      <c r="L247" s="61" t="n"/>
    </row>
    <row r="248" ht="15.75" customHeight="1" s="114">
      <c r="A248" s="51" t="n"/>
      <c r="B248" s="52" t="n"/>
      <c r="C248" s="52" t="n"/>
      <c r="D248" s="53" t="n"/>
      <c r="E248" s="54" t="n"/>
      <c r="F248" s="52" t="n"/>
      <c r="G248" s="52" t="n"/>
      <c r="H248" s="52" t="n"/>
      <c r="I248" s="52" t="n"/>
      <c r="J248" s="52" t="n"/>
      <c r="K248" s="55" t="n"/>
      <c r="L248" s="56" t="n"/>
    </row>
    <row r="249" ht="15.75" customHeight="1" s="114">
      <c r="A249" s="57" t="n"/>
      <c r="B249" s="58" t="n"/>
      <c r="C249" s="58" t="n"/>
      <c r="D249" s="64" t="n"/>
      <c r="E249" s="54" t="n"/>
      <c r="F249" s="58" t="n"/>
      <c r="G249" s="58" t="n"/>
      <c r="H249" s="58" t="n"/>
      <c r="I249" s="58" t="n"/>
      <c r="J249" s="58" t="n"/>
      <c r="K249" s="65" t="n"/>
      <c r="L249" s="61" t="n"/>
    </row>
    <row r="250" ht="15.75" customHeight="1" s="114">
      <c r="A250" s="51" t="n"/>
      <c r="B250" s="52" t="n"/>
      <c r="C250" s="52" t="n"/>
      <c r="D250" s="53" t="n"/>
      <c r="E250" s="54" t="n"/>
      <c r="F250" s="52" t="n"/>
      <c r="G250" s="52" t="n"/>
      <c r="H250" s="52" t="n"/>
      <c r="I250" s="52" t="n"/>
      <c r="J250" s="52" t="n"/>
      <c r="K250" s="55" t="n"/>
      <c r="L250" s="56" t="n"/>
    </row>
    <row r="251" ht="15.75" customHeight="1" s="114">
      <c r="A251" s="57" t="n"/>
      <c r="B251" s="58" t="n"/>
      <c r="C251" s="58" t="n"/>
      <c r="D251" s="64" t="n"/>
      <c r="E251" s="54" t="n"/>
      <c r="F251" s="58" t="n"/>
      <c r="G251" s="58" t="n"/>
      <c r="H251" s="58" t="n"/>
      <c r="I251" s="58" t="n"/>
      <c r="J251" s="58" t="n"/>
      <c r="K251" s="65" t="n"/>
      <c r="L251" s="61" t="n"/>
    </row>
    <row r="252" ht="15.75" customHeight="1" s="114">
      <c r="A252" s="51" t="n"/>
      <c r="B252" s="52" t="n"/>
      <c r="C252" s="52" t="n"/>
      <c r="D252" s="53" t="n"/>
      <c r="E252" s="54" t="n"/>
      <c r="F252" s="52" t="n"/>
      <c r="G252" s="52" t="n"/>
      <c r="H252" s="52" t="n"/>
      <c r="I252" s="52" t="n"/>
      <c r="J252" s="52" t="n"/>
      <c r="K252" s="55" t="n"/>
      <c r="L252" s="56" t="n"/>
    </row>
    <row r="253" ht="15.75" customHeight="1" s="114">
      <c r="A253" s="57" t="n"/>
      <c r="B253" s="58" t="n"/>
      <c r="C253" s="58" t="n"/>
      <c r="D253" s="64" t="n"/>
      <c r="E253" s="54" t="n"/>
      <c r="F253" s="58" t="n"/>
      <c r="G253" s="58" t="n"/>
      <c r="H253" s="58" t="n"/>
      <c r="I253" s="58" t="n"/>
      <c r="J253" s="58" t="n"/>
      <c r="K253" s="65" t="n"/>
      <c r="L253" s="61" t="n"/>
    </row>
    <row r="254" ht="15.75" customHeight="1" s="114">
      <c r="A254" s="51" t="n"/>
      <c r="B254" s="52" t="n"/>
      <c r="C254" s="52" t="n"/>
      <c r="D254" s="53" t="n"/>
      <c r="E254" s="54" t="n"/>
      <c r="F254" s="52" t="n"/>
      <c r="G254" s="52" t="n"/>
      <c r="H254" s="52" t="n"/>
      <c r="I254" s="52" t="n"/>
      <c r="J254" s="52" t="n"/>
      <c r="K254" s="55" t="n"/>
      <c r="L254" s="56" t="n"/>
    </row>
    <row r="255" ht="15.75" customHeight="1" s="114">
      <c r="A255" s="57" t="n"/>
      <c r="B255" s="58" t="n"/>
      <c r="C255" s="58" t="n"/>
      <c r="D255" s="64" t="n"/>
      <c r="E255" s="54" t="n"/>
      <c r="F255" s="58" t="n"/>
      <c r="G255" s="58" t="n"/>
      <c r="H255" s="58" t="n"/>
      <c r="I255" s="58" t="n"/>
      <c r="J255" s="58" t="n"/>
      <c r="K255" s="65" t="n"/>
      <c r="L255" s="61" t="n"/>
    </row>
    <row r="256" ht="15.75" customHeight="1" s="114">
      <c r="A256" s="51" t="n"/>
      <c r="B256" s="52" t="n"/>
      <c r="C256" s="52" t="n"/>
      <c r="D256" s="53" t="n"/>
      <c r="E256" s="54" t="n"/>
      <c r="F256" s="52" t="n"/>
      <c r="G256" s="52" t="n"/>
      <c r="H256" s="52" t="n"/>
      <c r="I256" s="52" t="n"/>
      <c r="J256" s="52" t="n"/>
      <c r="K256" s="55" t="n"/>
      <c r="L256" s="56" t="n"/>
    </row>
    <row r="257" ht="15.75" customHeight="1" s="114">
      <c r="A257" s="57" t="n"/>
      <c r="B257" s="58" t="n"/>
      <c r="C257" s="58" t="n"/>
      <c r="D257" s="64" t="n"/>
      <c r="E257" s="54" t="n"/>
      <c r="F257" s="58" t="n"/>
      <c r="G257" s="58" t="n"/>
      <c r="H257" s="58" t="n"/>
      <c r="I257" s="58" t="n"/>
      <c r="J257" s="58" t="n"/>
      <c r="K257" s="65" t="n"/>
      <c r="L257" s="61" t="n"/>
    </row>
    <row r="258" ht="15.75" customHeight="1" s="114">
      <c r="A258" s="51" t="n"/>
      <c r="B258" s="52" t="n"/>
      <c r="C258" s="52" t="n"/>
      <c r="D258" s="53" t="n"/>
      <c r="E258" s="54" t="n"/>
      <c r="F258" s="52" t="n"/>
      <c r="G258" s="52" t="n"/>
      <c r="H258" s="52" t="n"/>
      <c r="I258" s="52" t="n"/>
      <c r="J258" s="52" t="n"/>
      <c r="K258" s="55" t="n"/>
      <c r="L258" s="56" t="n"/>
    </row>
    <row r="259" ht="15.75" customHeight="1" s="114">
      <c r="A259" s="57" t="n"/>
      <c r="B259" s="58" t="n"/>
      <c r="C259" s="58" t="n"/>
      <c r="D259" s="64" t="n"/>
      <c r="E259" s="54" t="n"/>
      <c r="F259" s="58" t="n"/>
      <c r="G259" s="58" t="n"/>
      <c r="H259" s="58" t="n"/>
      <c r="I259" s="58" t="n"/>
      <c r="J259" s="58" t="n"/>
      <c r="K259" s="65" t="n"/>
      <c r="L259" s="61" t="n"/>
    </row>
    <row r="260" ht="15.75" customHeight="1" s="114">
      <c r="A260" s="51" t="n"/>
      <c r="B260" s="52" t="n"/>
      <c r="C260" s="52" t="n"/>
      <c r="D260" s="53" t="n"/>
      <c r="E260" s="54" t="n"/>
      <c r="F260" s="52" t="n"/>
      <c r="G260" s="52" t="n"/>
      <c r="H260" s="52" t="n"/>
      <c r="I260" s="52" t="n"/>
      <c r="J260" s="52" t="n"/>
      <c r="K260" s="55" t="n"/>
      <c r="L260" s="56" t="n"/>
    </row>
    <row r="261" ht="15.75" customHeight="1" s="114">
      <c r="A261" s="57" t="n"/>
      <c r="B261" s="58" t="n"/>
      <c r="C261" s="58" t="n"/>
      <c r="D261" s="64" t="n"/>
      <c r="E261" s="54" t="n"/>
      <c r="F261" s="58" t="n"/>
      <c r="G261" s="58" t="n"/>
      <c r="H261" s="58" t="n"/>
      <c r="I261" s="58" t="n"/>
      <c r="J261" s="58" t="n"/>
      <c r="K261" s="65" t="n"/>
      <c r="L261" s="61" t="n"/>
    </row>
    <row r="262" ht="15.75" customHeight="1" s="114">
      <c r="A262" s="51" t="n"/>
      <c r="B262" s="52" t="n"/>
      <c r="C262" s="52" t="n"/>
      <c r="D262" s="53" t="n"/>
      <c r="E262" s="54" t="n"/>
      <c r="F262" s="52" t="n"/>
      <c r="G262" s="52" t="n"/>
      <c r="H262" s="52" t="n"/>
      <c r="I262" s="52" t="n"/>
      <c r="J262" s="52" t="n"/>
      <c r="K262" s="55" t="n"/>
      <c r="L262" s="56" t="n"/>
    </row>
    <row r="263" ht="15.75" customHeight="1" s="114">
      <c r="A263" s="57" t="n"/>
      <c r="B263" s="58" t="n"/>
      <c r="C263" s="58" t="n"/>
      <c r="D263" s="64" t="n"/>
      <c r="E263" s="54" t="n"/>
      <c r="F263" s="58" t="n"/>
      <c r="G263" s="58" t="n"/>
      <c r="H263" s="58" t="n"/>
      <c r="I263" s="58" t="n"/>
      <c r="J263" s="58" t="n"/>
      <c r="K263" s="65" t="n"/>
      <c r="L263" s="61" t="n"/>
    </row>
    <row r="264" ht="15.75" customHeight="1" s="114">
      <c r="A264" s="51" t="n"/>
      <c r="B264" s="52" t="n"/>
      <c r="C264" s="52" t="n"/>
      <c r="D264" s="53" t="n"/>
      <c r="E264" s="54" t="n"/>
      <c r="F264" s="52" t="n"/>
      <c r="G264" s="52" t="n"/>
      <c r="H264" s="52" t="n"/>
      <c r="I264" s="52" t="n"/>
      <c r="J264" s="52" t="n"/>
      <c r="K264" s="55" t="n"/>
      <c r="L264" s="56" t="n"/>
    </row>
    <row r="265" ht="15.75" customHeight="1" s="114">
      <c r="A265" s="57" t="n"/>
      <c r="B265" s="58" t="n"/>
      <c r="C265" s="58" t="n"/>
      <c r="D265" s="64" t="n"/>
      <c r="E265" s="54" t="n"/>
      <c r="F265" s="58" t="n"/>
      <c r="G265" s="58" t="n"/>
      <c r="H265" s="58" t="n"/>
      <c r="I265" s="58" t="n"/>
      <c r="J265" s="58" t="n"/>
      <c r="K265" s="65" t="n"/>
      <c r="L265" s="61" t="n"/>
    </row>
    <row r="266" ht="15.75" customHeight="1" s="114">
      <c r="A266" s="51" t="n"/>
      <c r="B266" s="52" t="n"/>
      <c r="C266" s="52" t="n"/>
      <c r="D266" s="53" t="n"/>
      <c r="E266" s="54" t="n"/>
      <c r="F266" s="52" t="n"/>
      <c r="G266" s="52" t="n"/>
      <c r="H266" s="52" t="n"/>
      <c r="I266" s="52" t="n"/>
      <c r="J266" s="52" t="n"/>
      <c r="K266" s="55" t="n"/>
      <c r="L266" s="56" t="n"/>
    </row>
    <row r="267" ht="15.75" customHeight="1" s="114">
      <c r="A267" s="57" t="n"/>
      <c r="B267" s="58" t="n"/>
      <c r="C267" s="58" t="n"/>
      <c r="D267" s="64" t="n"/>
      <c r="E267" s="54" t="n"/>
      <c r="F267" s="58" t="n"/>
      <c r="G267" s="58" t="n"/>
      <c r="H267" s="58" t="n"/>
      <c r="I267" s="58" t="n"/>
      <c r="J267" s="58" t="n"/>
      <c r="K267" s="65" t="n"/>
      <c r="L267" s="61" t="n"/>
    </row>
    <row r="268" ht="15.75" customHeight="1" s="114">
      <c r="A268" s="51" t="n"/>
      <c r="B268" s="52" t="n"/>
      <c r="C268" s="52" t="n"/>
      <c r="D268" s="53" t="n"/>
      <c r="E268" s="54" t="n"/>
      <c r="F268" s="52" t="n"/>
      <c r="G268" s="52" t="n"/>
      <c r="H268" s="52" t="n"/>
      <c r="I268" s="52" t="n"/>
      <c r="J268" s="52" t="n"/>
      <c r="K268" s="55" t="n"/>
      <c r="L268" s="56" t="n"/>
    </row>
    <row r="269" ht="15.75" customHeight="1" s="114">
      <c r="A269" s="57" t="n"/>
      <c r="B269" s="58" t="n"/>
      <c r="C269" s="58" t="n"/>
      <c r="D269" s="64" t="n"/>
      <c r="E269" s="54" t="n"/>
      <c r="F269" s="58" t="n"/>
      <c r="G269" s="58" t="n"/>
      <c r="H269" s="58" t="n"/>
      <c r="I269" s="58" t="n"/>
      <c r="J269" s="58" t="n"/>
      <c r="K269" s="65" t="n"/>
      <c r="L269" s="61" t="n"/>
    </row>
    <row r="270" ht="15.75" customHeight="1" s="114">
      <c r="A270" s="51" t="n"/>
      <c r="B270" s="52" t="n"/>
      <c r="C270" s="52" t="n"/>
      <c r="D270" s="53" t="n"/>
      <c r="E270" s="54" t="n"/>
      <c r="F270" s="52" t="n"/>
      <c r="G270" s="52" t="n"/>
      <c r="H270" s="52" t="n"/>
      <c r="I270" s="52" t="n"/>
      <c r="J270" s="52" t="n"/>
      <c r="K270" s="55" t="n"/>
      <c r="L270" s="56" t="n"/>
    </row>
    <row r="271" ht="15.75" customHeight="1" s="114">
      <c r="A271" s="57" t="n"/>
      <c r="B271" s="58" t="n"/>
      <c r="C271" s="58" t="n"/>
      <c r="D271" s="64" t="n"/>
      <c r="E271" s="54" t="n"/>
      <c r="F271" s="58" t="n"/>
      <c r="G271" s="58" t="n"/>
      <c r="H271" s="58" t="n"/>
      <c r="I271" s="58" t="n"/>
      <c r="J271" s="58" t="n"/>
      <c r="K271" s="65" t="n"/>
      <c r="L271" s="61" t="n"/>
    </row>
    <row r="272" ht="15.75" customHeight="1" s="114">
      <c r="A272" s="51" t="n"/>
      <c r="B272" s="52" t="n"/>
      <c r="C272" s="52" t="n"/>
      <c r="D272" s="53" t="n"/>
      <c r="E272" s="54" t="n"/>
      <c r="F272" s="52" t="n"/>
      <c r="G272" s="52" t="n"/>
      <c r="H272" s="52" t="n"/>
      <c r="I272" s="52" t="n"/>
      <c r="J272" s="52" t="n"/>
      <c r="K272" s="55" t="n"/>
      <c r="L272" s="56" t="n"/>
    </row>
    <row r="273" ht="15.75" customHeight="1" s="114">
      <c r="A273" s="57" t="n"/>
      <c r="B273" s="58" t="n"/>
      <c r="C273" s="58" t="n"/>
      <c r="D273" s="64" t="n"/>
      <c r="E273" s="62" t="n"/>
      <c r="F273" s="58" t="n"/>
      <c r="G273" s="58" t="n"/>
      <c r="H273" s="58" t="n"/>
      <c r="I273" s="58" t="n"/>
      <c r="J273" s="58" t="n"/>
      <c r="K273" s="65" t="n"/>
      <c r="L273" s="61" t="n"/>
    </row>
    <row r="274" ht="15.75" customHeight="1" s="114">
      <c r="A274" s="51" t="n"/>
      <c r="B274" s="52" t="n"/>
      <c r="C274" s="52" t="n"/>
      <c r="D274" s="53" t="n"/>
      <c r="E274" s="54" t="n"/>
      <c r="F274" s="52" t="n"/>
      <c r="G274" s="52" t="n"/>
      <c r="H274" s="52" t="n"/>
      <c r="I274" s="52" t="n"/>
      <c r="J274" s="52" t="n"/>
      <c r="K274" s="55" t="n"/>
      <c r="L274" s="56" t="n"/>
    </row>
    <row r="275" ht="15.75" customHeight="1" s="114">
      <c r="A275" s="57" t="n"/>
      <c r="B275" s="58" t="n"/>
      <c r="C275" s="58" t="n"/>
      <c r="D275" s="64" t="n"/>
      <c r="E275" s="54" t="n"/>
      <c r="F275" s="58" t="n"/>
      <c r="G275" s="58" t="n"/>
      <c r="H275" s="58" t="n"/>
      <c r="I275" s="58" t="n"/>
      <c r="J275" s="58" t="n"/>
      <c r="K275" s="65" t="n"/>
      <c r="L275" s="61" t="n"/>
    </row>
    <row r="276" ht="15.75" customHeight="1" s="114">
      <c r="A276" s="51" t="n"/>
      <c r="B276" s="52" t="n"/>
      <c r="C276" s="52" t="n"/>
      <c r="D276" s="53" t="n"/>
      <c r="E276" s="54" t="n"/>
      <c r="F276" s="52" t="n"/>
      <c r="G276" s="52" t="n"/>
      <c r="H276" s="52" t="n"/>
      <c r="I276" s="52" t="n"/>
      <c r="J276" s="52" t="n"/>
      <c r="K276" s="55" t="n"/>
      <c r="L276" s="56" t="n"/>
    </row>
    <row r="277" ht="15.75" customHeight="1" s="114">
      <c r="A277" s="57" t="n"/>
      <c r="B277" s="58" t="n"/>
      <c r="C277" s="58" t="n"/>
      <c r="D277" s="64" t="n"/>
      <c r="E277" s="54" t="n"/>
      <c r="F277" s="58" t="n"/>
      <c r="G277" s="58" t="n"/>
      <c r="H277" s="58" t="n"/>
      <c r="I277" s="58" t="n"/>
      <c r="J277" s="58" t="n"/>
      <c r="K277" s="65" t="n"/>
      <c r="L277" s="61" t="n"/>
    </row>
    <row r="278" ht="15.75" customHeight="1" s="114">
      <c r="A278" s="51" t="n"/>
      <c r="B278" s="52" t="n"/>
      <c r="C278" s="52" t="n"/>
      <c r="D278" s="53" t="n"/>
      <c r="E278" s="54" t="n"/>
      <c r="F278" s="52" t="n"/>
      <c r="G278" s="52" t="n"/>
      <c r="H278" s="52" t="n"/>
      <c r="I278" s="52" t="n"/>
      <c r="J278" s="52" t="n"/>
      <c r="K278" s="55" t="n"/>
      <c r="L278" s="56" t="n"/>
    </row>
    <row r="279" ht="15.75" customHeight="1" s="114">
      <c r="A279" s="57" t="n"/>
      <c r="B279" s="58" t="n"/>
      <c r="C279" s="58" t="n"/>
      <c r="D279" s="64" t="n"/>
      <c r="E279" s="54" t="n"/>
      <c r="F279" s="58" t="n"/>
      <c r="G279" s="58" t="n"/>
      <c r="H279" s="58" t="n"/>
      <c r="I279" s="58" t="n"/>
      <c r="J279" s="58" t="n"/>
      <c r="K279" s="65" t="n"/>
      <c r="L279" s="61" t="n"/>
    </row>
    <row r="280" ht="15.75" customHeight="1" s="114">
      <c r="A280" s="51" t="n"/>
      <c r="B280" s="52" t="n"/>
      <c r="C280" s="52" t="n"/>
      <c r="D280" s="53" t="n"/>
      <c r="E280" s="63" t="n"/>
      <c r="F280" s="52" t="n"/>
      <c r="G280" s="52" t="n"/>
      <c r="H280" s="52" t="n"/>
      <c r="I280" s="52" t="n"/>
      <c r="J280" s="52" t="n"/>
      <c r="K280" s="55" t="n"/>
      <c r="L280" s="56" t="n"/>
    </row>
    <row r="281" ht="15.75" customHeight="1" s="114">
      <c r="A281" s="57" t="n"/>
      <c r="B281" s="58" t="n"/>
      <c r="C281" s="58" t="n"/>
      <c r="D281" s="64" t="n"/>
      <c r="E281" s="54" t="n"/>
      <c r="F281" s="58" t="n"/>
      <c r="G281" s="58" t="n"/>
      <c r="H281" s="58" t="n"/>
      <c r="I281" s="58" t="n"/>
      <c r="J281" s="58" t="n"/>
      <c r="K281" s="65" t="n"/>
      <c r="L281" s="61" t="n"/>
    </row>
    <row r="282" ht="15.75" customHeight="1" s="114">
      <c r="A282" s="51" t="n"/>
      <c r="B282" s="52" t="n"/>
      <c r="C282" s="52" t="n"/>
      <c r="D282" s="53" t="n"/>
      <c r="E282" s="54" t="n"/>
      <c r="F282" s="52" t="n"/>
      <c r="G282" s="52" t="n"/>
      <c r="H282" s="52" t="n"/>
      <c r="I282" s="52" t="n"/>
      <c r="J282" s="52" t="n"/>
      <c r="K282" s="55" t="n"/>
      <c r="L282" s="56" t="n"/>
    </row>
    <row r="283" ht="15.75" customHeight="1" s="114">
      <c r="A283" s="57" t="n"/>
      <c r="B283" s="58" t="n"/>
      <c r="C283" s="58" t="n"/>
      <c r="D283" s="64" t="n"/>
      <c r="E283" s="54" t="n"/>
      <c r="F283" s="58" t="n"/>
      <c r="G283" s="58" t="n"/>
      <c r="H283" s="58" t="n"/>
      <c r="I283" s="58" t="n"/>
      <c r="J283" s="58" t="n"/>
      <c r="K283" s="65" t="n"/>
      <c r="L283" s="61" t="n"/>
    </row>
    <row r="284" ht="15.75" customHeight="1" s="114">
      <c r="A284" s="51" t="n"/>
      <c r="B284" s="52" t="n"/>
      <c r="C284" s="52" t="n"/>
      <c r="D284" s="53" t="n"/>
      <c r="E284" s="54" t="n"/>
      <c r="F284" s="52" t="n"/>
      <c r="G284" s="52" t="n"/>
      <c r="H284" s="52" t="n"/>
      <c r="I284" s="52" t="n"/>
      <c r="J284" s="52" t="n"/>
      <c r="K284" s="55" t="n"/>
      <c r="L284" s="56" t="n"/>
    </row>
    <row r="285" ht="15.75" customHeight="1" s="114">
      <c r="A285" s="57" t="n"/>
      <c r="B285" s="58" t="n"/>
      <c r="C285" s="58" t="n"/>
      <c r="D285" s="64" t="n"/>
      <c r="E285" s="54" t="n"/>
      <c r="F285" s="58" t="n"/>
      <c r="G285" s="58" t="n"/>
      <c r="H285" s="58" t="n"/>
      <c r="I285" s="58" t="n"/>
      <c r="J285" s="58" t="n"/>
      <c r="K285" s="65" t="n"/>
      <c r="L285" s="61" t="n"/>
    </row>
    <row r="286" ht="15.75" customHeight="1" s="114">
      <c r="A286" s="51" t="n"/>
      <c r="B286" s="52" t="n"/>
      <c r="C286" s="52" t="n"/>
      <c r="D286" s="53" t="n"/>
      <c r="E286" s="54" t="n"/>
      <c r="F286" s="52" t="n"/>
      <c r="G286" s="52" t="n"/>
      <c r="H286" s="52" t="n"/>
      <c r="I286" s="52" t="n"/>
      <c r="J286" s="52" t="n"/>
      <c r="K286" s="55" t="n"/>
      <c r="L286" s="56" t="n"/>
    </row>
    <row r="287" ht="15.75" customHeight="1" s="114">
      <c r="A287" s="57" t="n"/>
      <c r="B287" s="58" t="n"/>
      <c r="C287" s="58" t="n"/>
      <c r="D287" s="64" t="n"/>
      <c r="E287" s="54" t="n"/>
      <c r="F287" s="58" t="n"/>
      <c r="G287" s="58" t="n"/>
      <c r="H287" s="58" t="n"/>
      <c r="I287" s="58" t="n"/>
      <c r="J287" s="58" t="n"/>
      <c r="K287" s="65" t="n"/>
      <c r="L287" s="61" t="n"/>
    </row>
    <row r="288" ht="15.75" customHeight="1" s="114">
      <c r="A288" s="51" t="n"/>
      <c r="B288" s="52" t="n"/>
      <c r="C288" s="52" t="n"/>
      <c r="D288" s="53" t="n"/>
      <c r="E288" s="54" t="n"/>
      <c r="F288" s="52" t="n"/>
      <c r="G288" s="52" t="n"/>
      <c r="H288" s="52" t="n"/>
      <c r="I288" s="52" t="n"/>
      <c r="J288" s="52" t="n"/>
      <c r="K288" s="55" t="n"/>
      <c r="L288" s="56" t="n"/>
    </row>
    <row r="289" ht="15.75" customHeight="1" s="114">
      <c r="A289" s="57" t="n"/>
      <c r="B289" s="58" t="n"/>
      <c r="C289" s="58" t="n"/>
      <c r="D289" s="64" t="n"/>
      <c r="E289" s="54" t="n"/>
      <c r="F289" s="58" t="n"/>
      <c r="G289" s="58" t="n"/>
      <c r="H289" s="58" t="n"/>
      <c r="I289" s="58" t="n"/>
      <c r="J289" s="58" t="n"/>
      <c r="K289" s="65" t="n"/>
      <c r="L289" s="61" t="n"/>
    </row>
    <row r="290" ht="15.75" customHeight="1" s="114">
      <c r="A290" s="51" t="n"/>
      <c r="B290" s="52" t="n"/>
      <c r="C290" s="52" t="n"/>
      <c r="D290" s="53" t="n"/>
      <c r="E290" s="54" t="n"/>
      <c r="F290" s="52" t="n"/>
      <c r="G290" s="52" t="n"/>
      <c r="H290" s="52" t="n"/>
      <c r="I290" s="52" t="n"/>
      <c r="J290" s="52" t="n"/>
      <c r="K290" s="55" t="n"/>
      <c r="L290" s="56" t="n"/>
    </row>
    <row r="291" ht="15.75" customHeight="1" s="114">
      <c r="A291" s="57" t="n"/>
      <c r="B291" s="58" t="n"/>
      <c r="C291" s="58" t="n"/>
      <c r="D291" s="64" t="n"/>
      <c r="E291" s="54" t="n"/>
      <c r="F291" s="58" t="n"/>
      <c r="G291" s="58" t="n"/>
      <c r="H291" s="58" t="n"/>
      <c r="I291" s="58" t="n"/>
      <c r="J291" s="58" t="n"/>
      <c r="K291" s="65" t="n"/>
      <c r="L291" s="61" t="n"/>
    </row>
    <row r="292" ht="15.75" customHeight="1" s="114">
      <c r="A292" s="51" t="n"/>
      <c r="B292" s="52" t="n"/>
      <c r="C292" s="52" t="n"/>
      <c r="D292" s="53" t="n"/>
      <c r="E292" s="54" t="n"/>
      <c r="F292" s="52" t="n"/>
      <c r="G292" s="52" t="n"/>
      <c r="H292" s="52" t="n"/>
      <c r="I292" s="52" t="n"/>
      <c r="J292" s="52" t="n"/>
      <c r="K292" s="55" t="n"/>
      <c r="L292" s="56" t="n"/>
    </row>
    <row r="293" ht="15.75" customHeight="1" s="114">
      <c r="A293" s="57" t="n"/>
      <c r="B293" s="58" t="n"/>
      <c r="C293" s="58" t="n"/>
      <c r="D293" s="64" t="n"/>
      <c r="E293" s="54" t="n"/>
      <c r="F293" s="58" t="n"/>
      <c r="G293" s="58" t="n"/>
      <c r="H293" s="58" t="n"/>
      <c r="I293" s="58" t="n"/>
      <c r="J293" s="58" t="n"/>
      <c r="K293" s="65" t="n"/>
      <c r="L293" s="61" t="n"/>
    </row>
    <row r="294" ht="15.75" customHeight="1" s="114">
      <c r="A294" s="51" t="n"/>
      <c r="B294" s="52" t="n"/>
      <c r="C294" s="52" t="n"/>
      <c r="D294" s="53" t="n"/>
      <c r="E294" s="54" t="n"/>
      <c r="F294" s="52" t="n"/>
      <c r="G294" s="52" t="n"/>
      <c r="H294" s="52" t="n"/>
      <c r="I294" s="52" t="n"/>
      <c r="J294" s="52" t="n"/>
      <c r="K294" s="55" t="n"/>
      <c r="L294" s="56" t="n"/>
    </row>
    <row r="295" ht="15.75" customHeight="1" s="114">
      <c r="A295" s="57" t="n"/>
      <c r="B295" s="58" t="n"/>
      <c r="C295" s="58" t="n"/>
      <c r="D295" s="64" t="n"/>
      <c r="E295" s="54" t="n"/>
      <c r="F295" s="58" t="n"/>
      <c r="G295" s="58" t="n"/>
      <c r="H295" s="58" t="n"/>
      <c r="I295" s="58" t="n"/>
      <c r="J295" s="58" t="n"/>
      <c r="K295" s="65" t="n"/>
      <c r="L295" s="61" t="n"/>
    </row>
    <row r="296" ht="15.75" customHeight="1" s="114">
      <c r="A296" s="51" t="n"/>
      <c r="B296" s="52" t="n"/>
      <c r="C296" s="52" t="n"/>
      <c r="D296" s="53" t="n"/>
      <c r="E296" s="54" t="n"/>
      <c r="F296" s="52" t="n"/>
      <c r="G296" s="52" t="n"/>
      <c r="H296" s="52" t="n"/>
      <c r="I296" s="52" t="n"/>
      <c r="J296" s="52" t="n"/>
      <c r="K296" s="55" t="n"/>
      <c r="L296" s="56" t="n"/>
    </row>
    <row r="297" ht="15.75" customHeight="1" s="114">
      <c r="A297" s="57" t="n"/>
      <c r="B297" s="58" t="n"/>
      <c r="C297" s="58" t="n"/>
      <c r="D297" s="64" t="n"/>
      <c r="E297" s="54" t="n"/>
      <c r="F297" s="58" t="n"/>
      <c r="G297" s="58" t="n"/>
      <c r="H297" s="58" t="n"/>
      <c r="I297" s="58" t="n"/>
      <c r="J297" s="58" t="n"/>
      <c r="K297" s="65" t="n"/>
      <c r="L297" s="61" t="n"/>
    </row>
    <row r="298" ht="15.75" customHeight="1" s="114">
      <c r="A298" s="51" t="n"/>
      <c r="B298" s="52" t="n"/>
      <c r="C298" s="52" t="n"/>
      <c r="D298" s="53" t="n"/>
      <c r="E298" s="54" t="n"/>
      <c r="F298" s="52" t="n"/>
      <c r="G298" s="52" t="n"/>
      <c r="H298" s="52" t="n"/>
      <c r="I298" s="52" t="n"/>
      <c r="J298" s="52" t="n"/>
      <c r="K298" s="55" t="n"/>
      <c r="L298" s="56" t="n"/>
    </row>
    <row r="299" ht="15.75" customHeight="1" s="114">
      <c r="A299" s="57" t="n"/>
      <c r="B299" s="58" t="n"/>
      <c r="C299" s="58" t="n"/>
      <c r="D299" s="64" t="n"/>
      <c r="E299" s="54" t="n"/>
      <c r="F299" s="58" t="n"/>
      <c r="G299" s="58" t="n"/>
      <c r="H299" s="58" t="n"/>
      <c r="I299" s="58" t="n"/>
      <c r="J299" s="58" t="n"/>
      <c r="K299" s="65" t="n"/>
      <c r="L299" s="61" t="n"/>
    </row>
    <row r="300" ht="15.75" customHeight="1" s="114">
      <c r="A300" s="51" t="n"/>
      <c r="B300" s="52" t="n"/>
      <c r="C300" s="52" t="n"/>
      <c r="D300" s="53" t="n"/>
      <c r="E300" s="54" t="n"/>
      <c r="F300" s="52" t="n"/>
      <c r="G300" s="52" t="n"/>
      <c r="H300" s="52" t="n"/>
      <c r="I300" s="52" t="n"/>
      <c r="J300" s="52" t="n"/>
      <c r="K300" s="55" t="n"/>
      <c r="L300" s="56" t="n"/>
    </row>
    <row r="301" ht="15.75" customHeight="1" s="114">
      <c r="A301" s="57" t="n"/>
      <c r="B301" s="58" t="n"/>
      <c r="C301" s="58" t="n"/>
      <c r="D301" s="64" t="n"/>
      <c r="E301" s="63" t="n"/>
      <c r="F301" s="58" t="n"/>
      <c r="G301" s="58" t="n"/>
      <c r="H301" s="58" t="n"/>
      <c r="I301" s="58" t="n"/>
      <c r="J301" s="58" t="n"/>
      <c r="K301" s="65" t="n"/>
      <c r="L301" s="61" t="n"/>
    </row>
    <row r="302" ht="15.75" customHeight="1" s="114">
      <c r="A302" s="51" t="n"/>
      <c r="B302" s="52" t="n"/>
      <c r="C302" s="52" t="n"/>
      <c r="D302" s="53" t="n"/>
      <c r="E302" s="63" t="n"/>
      <c r="F302" s="52" t="n"/>
      <c r="G302" s="52" t="n"/>
      <c r="H302" s="52" t="n"/>
      <c r="I302" s="52" t="n"/>
      <c r="J302" s="52" t="n"/>
      <c r="K302" s="55" t="n"/>
      <c r="L302" s="56" t="n"/>
    </row>
    <row r="303" ht="15.75" customHeight="1" s="114">
      <c r="A303" s="57" t="n"/>
      <c r="B303" s="58" t="n"/>
      <c r="C303" s="58" t="n"/>
      <c r="D303" s="64" t="n"/>
      <c r="E303" s="54" t="n"/>
      <c r="F303" s="58" t="n"/>
      <c r="G303" s="58" t="n"/>
      <c r="H303" s="58" t="n"/>
      <c r="I303" s="58" t="n"/>
      <c r="J303" s="58" t="n"/>
      <c r="K303" s="65" t="n"/>
      <c r="L303" s="61" t="n"/>
    </row>
    <row r="304" ht="15.75" customHeight="1" s="114">
      <c r="A304" s="51" t="n"/>
      <c r="B304" s="52" t="n"/>
      <c r="C304" s="52" t="n"/>
      <c r="D304" s="53" t="n"/>
      <c r="E304" s="54" t="n"/>
      <c r="F304" s="52" t="n"/>
      <c r="G304" s="52" t="n"/>
      <c r="H304" s="52" t="n"/>
      <c r="I304" s="52" t="n"/>
      <c r="J304" s="52" t="n"/>
      <c r="K304" s="55" t="n"/>
      <c r="L304" s="56" t="n"/>
    </row>
    <row r="305" ht="15.75" customHeight="1" s="114">
      <c r="A305" s="57" t="n"/>
      <c r="B305" s="58" t="n"/>
      <c r="C305" s="58" t="n"/>
      <c r="D305" s="64" t="n"/>
      <c r="E305" s="54" t="n"/>
      <c r="F305" s="58" t="n"/>
      <c r="G305" s="58" t="n"/>
      <c r="H305" s="58" t="n"/>
      <c r="I305" s="58" t="n"/>
      <c r="J305" s="58" t="n"/>
      <c r="K305" s="65" t="n"/>
      <c r="L305" s="61" t="n"/>
    </row>
    <row r="306" ht="15.75" customHeight="1" s="114">
      <c r="A306" s="51" t="n"/>
      <c r="B306" s="52" t="n"/>
      <c r="C306" s="52" t="n"/>
      <c r="D306" s="53" t="n"/>
      <c r="E306" s="54" t="n"/>
      <c r="F306" s="52" t="n"/>
      <c r="G306" s="52" t="n"/>
      <c r="H306" s="52" t="n"/>
      <c r="I306" s="52" t="n"/>
      <c r="J306" s="52" t="n"/>
      <c r="K306" s="55" t="n"/>
      <c r="L306" s="56" t="n"/>
    </row>
    <row r="307" ht="15.75" customHeight="1" s="114">
      <c r="A307" s="57" t="n"/>
      <c r="B307" s="58" t="n"/>
      <c r="C307" s="58" t="n"/>
      <c r="D307" s="64" t="n"/>
      <c r="E307" s="54" t="n"/>
      <c r="F307" s="58" t="n"/>
      <c r="G307" s="58" t="n"/>
      <c r="H307" s="58" t="n"/>
      <c r="I307" s="58" t="n"/>
      <c r="J307" s="58" t="n"/>
      <c r="K307" s="65" t="n"/>
      <c r="L307" s="61" t="n"/>
    </row>
    <row r="308" ht="15.75" customHeight="1" s="114">
      <c r="A308" s="51" t="n"/>
      <c r="B308" s="52" t="n"/>
      <c r="C308" s="52" t="n"/>
      <c r="D308" s="53" t="n"/>
      <c r="E308" s="54" t="n"/>
      <c r="F308" s="52" t="n"/>
      <c r="G308" s="52" t="n"/>
      <c r="H308" s="52" t="n"/>
      <c r="I308" s="52" t="n"/>
      <c r="J308" s="52" t="n"/>
      <c r="K308" s="55" t="n"/>
      <c r="L308" s="56" t="n"/>
    </row>
    <row r="309" ht="15.75" customHeight="1" s="114">
      <c r="A309" s="57" t="n"/>
      <c r="B309" s="58" t="n"/>
      <c r="C309" s="58" t="n"/>
      <c r="D309" s="64" t="n"/>
      <c r="E309" s="54" t="n"/>
      <c r="F309" s="58" t="n"/>
      <c r="G309" s="58" t="n"/>
      <c r="H309" s="58" t="n"/>
      <c r="I309" s="58" t="n"/>
      <c r="J309" s="58" t="n"/>
      <c r="K309" s="65" t="n"/>
      <c r="L309" s="61" t="n"/>
    </row>
    <row r="310" ht="15.75" customHeight="1" s="114">
      <c r="A310" s="51" t="n"/>
      <c r="B310" s="52" t="n"/>
      <c r="C310" s="52" t="n"/>
      <c r="D310" s="53" t="n"/>
      <c r="E310" s="54" t="n"/>
      <c r="F310" s="52" t="n"/>
      <c r="G310" s="52" t="n"/>
      <c r="H310" s="52" t="n"/>
      <c r="I310" s="52" t="n"/>
      <c r="J310" s="52" t="n"/>
      <c r="K310" s="55" t="n"/>
      <c r="L310" s="56" t="n"/>
    </row>
    <row r="311" ht="15.75" customHeight="1" s="114">
      <c r="A311" s="57" t="n"/>
      <c r="B311" s="58" t="n"/>
      <c r="C311" s="58" t="n"/>
      <c r="D311" s="64" t="n"/>
      <c r="E311" s="54" t="n"/>
      <c r="F311" s="58" t="n"/>
      <c r="G311" s="58" t="n"/>
      <c r="H311" s="58" t="n"/>
      <c r="I311" s="58" t="n"/>
      <c r="J311" s="58" t="n"/>
      <c r="K311" s="65" t="n"/>
      <c r="L311" s="61" t="n"/>
    </row>
    <row r="312" ht="15.75" customHeight="1" s="114">
      <c r="A312" s="51" t="n"/>
      <c r="B312" s="52" t="n"/>
      <c r="C312" s="52" t="n"/>
      <c r="D312" s="53" t="n"/>
      <c r="E312" s="54" t="n"/>
      <c r="F312" s="52" t="n"/>
      <c r="G312" s="52" t="n"/>
      <c r="H312" s="52" t="n"/>
      <c r="I312" s="52" t="n"/>
      <c r="J312" s="52" t="n"/>
      <c r="K312" s="55" t="n"/>
      <c r="L312" s="56" t="n"/>
    </row>
    <row r="313" ht="15.75" customHeight="1" s="114">
      <c r="A313" s="57" t="n"/>
      <c r="B313" s="58" t="n"/>
      <c r="C313" s="58" t="n"/>
      <c r="D313" s="64" t="n"/>
      <c r="E313" s="54" t="n"/>
      <c r="F313" s="58" t="n"/>
      <c r="G313" s="58" t="n"/>
      <c r="H313" s="58" t="n"/>
      <c r="I313" s="58" t="n"/>
      <c r="J313" s="58" t="n"/>
      <c r="K313" s="65" t="n"/>
      <c r="L313" s="61" t="n"/>
    </row>
    <row r="314" ht="15.75" customHeight="1" s="114">
      <c r="A314" s="51" t="n"/>
      <c r="B314" s="52" t="n"/>
      <c r="C314" s="52" t="n"/>
      <c r="D314" s="53" t="n"/>
      <c r="E314" s="54" t="n"/>
      <c r="F314" s="52" t="n"/>
      <c r="G314" s="52" t="n"/>
      <c r="H314" s="52" t="n"/>
      <c r="I314" s="52" t="n"/>
      <c r="J314" s="52" t="n"/>
      <c r="K314" s="55" t="n"/>
      <c r="L314" s="56" t="n"/>
    </row>
    <row r="315" ht="15.75" customHeight="1" s="114">
      <c r="A315" s="57" t="n"/>
      <c r="B315" s="58" t="n"/>
      <c r="C315" s="58" t="n"/>
      <c r="D315" s="64" t="n"/>
      <c r="E315" s="54" t="n"/>
      <c r="F315" s="58" t="n"/>
      <c r="G315" s="58" t="n"/>
      <c r="H315" s="58" t="n"/>
      <c r="I315" s="58" t="n"/>
      <c r="J315" s="58" t="n"/>
      <c r="K315" s="65" t="n"/>
      <c r="L315" s="61" t="n"/>
    </row>
    <row r="316" ht="15.75" customHeight="1" s="114">
      <c r="A316" s="51" t="n"/>
      <c r="B316" s="52" t="n"/>
      <c r="C316" s="52" t="n"/>
      <c r="D316" s="53" t="n"/>
      <c r="E316" s="54" t="n"/>
      <c r="F316" s="52" t="n"/>
      <c r="G316" s="52" t="n"/>
      <c r="H316" s="52" t="n"/>
      <c r="I316" s="52" t="n"/>
      <c r="J316" s="52" t="n"/>
      <c r="K316" s="55" t="n"/>
      <c r="L316" s="56" t="n"/>
    </row>
    <row r="317" ht="15.75" customHeight="1" s="114">
      <c r="A317" s="57" t="n"/>
      <c r="B317" s="58" t="n"/>
      <c r="C317" s="58" t="n"/>
      <c r="D317" s="64" t="n"/>
      <c r="E317" s="54" t="n"/>
      <c r="F317" s="58" t="n"/>
      <c r="G317" s="58" t="n"/>
      <c r="H317" s="58" t="n"/>
      <c r="I317" s="58" t="n"/>
      <c r="J317" s="58" t="n"/>
      <c r="K317" s="65" t="n"/>
      <c r="L317" s="61" t="n"/>
    </row>
    <row r="318" ht="15.75" customHeight="1" s="114">
      <c r="A318" s="51" t="n"/>
      <c r="B318" s="52" t="n"/>
      <c r="C318" s="52" t="n"/>
      <c r="D318" s="53" t="n"/>
      <c r="E318" s="54" t="n"/>
      <c r="F318" s="52" t="n"/>
      <c r="G318" s="52" t="n"/>
      <c r="H318" s="52" t="n"/>
      <c r="I318" s="52" t="n"/>
      <c r="J318" s="52" t="n"/>
      <c r="K318" s="55" t="n"/>
      <c r="L318" s="56" t="n"/>
    </row>
    <row r="319" ht="15.75" customHeight="1" s="114">
      <c r="A319" s="57" t="n"/>
      <c r="B319" s="58" t="n"/>
      <c r="C319" s="58" t="n"/>
      <c r="D319" s="64" t="n"/>
      <c r="E319" s="54" t="n"/>
      <c r="F319" s="58" t="n"/>
      <c r="G319" s="58" t="n"/>
      <c r="H319" s="58" t="n"/>
      <c r="I319" s="58" t="n"/>
      <c r="J319" s="58" t="n"/>
      <c r="K319" s="65" t="n"/>
      <c r="L319" s="61" t="n"/>
    </row>
    <row r="320" ht="15.75" customHeight="1" s="114">
      <c r="A320" s="51" t="n"/>
      <c r="B320" s="52" t="n"/>
      <c r="C320" s="52" t="n"/>
      <c r="D320" s="53" t="n"/>
      <c r="E320" s="54" t="n"/>
      <c r="F320" s="52" t="n"/>
      <c r="G320" s="52" t="n"/>
      <c r="H320" s="52" t="n"/>
      <c r="I320" s="52" t="n"/>
      <c r="J320" s="52" t="n"/>
      <c r="K320" s="55" t="n"/>
      <c r="L320" s="56" t="n"/>
    </row>
    <row r="321" ht="15.75" customHeight="1" s="114">
      <c r="A321" s="57" t="n"/>
      <c r="B321" s="58" t="n"/>
      <c r="C321" s="58" t="n"/>
      <c r="D321" s="64" t="n"/>
      <c r="E321" s="54" t="n"/>
      <c r="F321" s="58" t="n"/>
      <c r="G321" s="58" t="n"/>
      <c r="H321" s="58" t="n"/>
      <c r="I321" s="58" t="n"/>
      <c r="J321" s="58" t="n"/>
      <c r="K321" s="65" t="n"/>
      <c r="L321" s="61" t="n"/>
    </row>
    <row r="322" ht="15.75" customHeight="1" s="114">
      <c r="A322" s="51" t="n"/>
      <c r="B322" s="52" t="n"/>
      <c r="C322" s="52" t="n"/>
      <c r="D322" s="53" t="n"/>
      <c r="E322" s="54" t="n"/>
      <c r="F322" s="52" t="n"/>
      <c r="G322" s="52" t="n"/>
      <c r="H322" s="52" t="n"/>
      <c r="I322" s="52" t="n"/>
      <c r="J322" s="52" t="n"/>
      <c r="K322" s="55" t="n"/>
      <c r="L322" s="56" t="n"/>
    </row>
    <row r="323" ht="15.75" customHeight="1" s="114">
      <c r="A323" s="57" t="n"/>
      <c r="B323" s="58" t="n"/>
      <c r="C323" s="58" t="n"/>
      <c r="D323" s="64" t="n"/>
      <c r="E323" s="54" t="n"/>
      <c r="F323" s="58" t="n"/>
      <c r="G323" s="58" t="n"/>
      <c r="H323" s="58" t="n"/>
      <c r="I323" s="58" t="n"/>
      <c r="J323" s="58" t="n"/>
      <c r="K323" s="65" t="n"/>
      <c r="L323" s="61" t="n"/>
    </row>
    <row r="324" ht="15.75" customHeight="1" s="114">
      <c r="A324" s="51" t="n"/>
      <c r="B324" s="52" t="n"/>
      <c r="C324" s="52" t="n"/>
      <c r="D324" s="53" t="n"/>
      <c r="E324" s="54" t="n"/>
      <c r="F324" s="52" t="n"/>
      <c r="G324" s="52" t="n"/>
      <c r="H324" s="52" t="n"/>
      <c r="I324" s="52" t="n"/>
      <c r="J324" s="52" t="n"/>
      <c r="K324" s="55" t="n"/>
      <c r="L324" s="56" t="n"/>
    </row>
    <row r="325" ht="15.75" customHeight="1" s="114">
      <c r="A325" s="57" t="n"/>
      <c r="B325" s="58" t="n"/>
      <c r="C325" s="58" t="n"/>
      <c r="D325" s="64" t="n"/>
      <c r="E325" s="54" t="n"/>
      <c r="F325" s="58" t="n"/>
      <c r="G325" s="58" t="n"/>
      <c r="H325" s="58" t="n"/>
      <c r="I325" s="58" t="n"/>
      <c r="J325" s="58" t="n"/>
      <c r="K325" s="65" t="n"/>
      <c r="L325" s="61" t="n"/>
    </row>
    <row r="326" ht="15.75" customHeight="1" s="114">
      <c r="A326" s="51" t="n"/>
      <c r="B326" s="52" t="n"/>
      <c r="C326" s="52" t="n"/>
      <c r="D326" s="53" t="n"/>
      <c r="E326" s="62" t="n"/>
      <c r="F326" s="52" t="n"/>
      <c r="G326" s="52" t="n"/>
      <c r="H326" s="52" t="n"/>
      <c r="I326" s="52" t="n"/>
      <c r="J326" s="52" t="n"/>
      <c r="K326" s="55" t="n"/>
      <c r="L326" s="56" t="n"/>
    </row>
    <row r="327" ht="15.75" customHeight="1" s="114">
      <c r="A327" s="57" t="n"/>
      <c r="B327" s="58" t="n"/>
      <c r="C327" s="58" t="n"/>
      <c r="D327" s="64" t="n"/>
      <c r="E327" s="63" t="n"/>
      <c r="F327" s="58" t="n"/>
      <c r="G327" s="58" t="n"/>
      <c r="H327" s="58" t="n"/>
      <c r="I327" s="58" t="n"/>
      <c r="J327" s="58" t="n"/>
      <c r="K327" s="65" t="n"/>
      <c r="L327" s="61" t="n"/>
    </row>
    <row r="328" ht="15.75" customHeight="1" s="114">
      <c r="A328" s="51" t="n"/>
      <c r="B328" s="52" t="n"/>
      <c r="C328" s="52" t="n"/>
      <c r="D328" s="53" t="n"/>
      <c r="E328" s="54" t="n"/>
      <c r="F328" s="52" t="n"/>
      <c r="G328" s="52" t="n"/>
      <c r="H328" s="52" t="n"/>
      <c r="I328" s="52" t="n"/>
      <c r="J328" s="52" t="n"/>
      <c r="K328" s="55" t="n"/>
      <c r="L328" s="56" t="n"/>
    </row>
    <row r="329" ht="15.75" customHeight="1" s="114">
      <c r="A329" s="57" t="n"/>
      <c r="B329" s="58" t="n"/>
      <c r="C329" s="58" t="n"/>
      <c r="D329" s="64" t="n"/>
      <c r="E329" s="54" t="n"/>
      <c r="F329" s="58" t="n"/>
      <c r="G329" s="58" t="n"/>
      <c r="H329" s="58" t="n"/>
      <c r="I329" s="58" t="n"/>
      <c r="J329" s="58" t="n"/>
      <c r="K329" s="65" t="n"/>
      <c r="L329" s="61" t="n"/>
    </row>
    <row r="330" ht="15.75" customHeight="1" s="114">
      <c r="A330" s="51" t="n"/>
      <c r="B330" s="52" t="n"/>
      <c r="C330" s="52" t="n"/>
      <c r="D330" s="53" t="n"/>
      <c r="E330" s="54" t="n"/>
      <c r="F330" s="52" t="n"/>
      <c r="G330" s="52" t="n"/>
      <c r="H330" s="52" t="n"/>
      <c r="I330" s="52" t="n"/>
      <c r="J330" s="52" t="n"/>
      <c r="K330" s="55" t="n"/>
      <c r="L330" s="56" t="n"/>
    </row>
    <row r="331" ht="15.75" customHeight="1" s="114">
      <c r="A331" s="57" t="n"/>
      <c r="B331" s="58" t="n"/>
      <c r="C331" s="58" t="n"/>
      <c r="D331" s="64" t="n"/>
      <c r="E331" s="54" t="n"/>
      <c r="F331" s="58" t="n"/>
      <c r="G331" s="58" t="n"/>
      <c r="H331" s="58" t="n"/>
      <c r="I331" s="58" t="n"/>
      <c r="J331" s="58" t="n"/>
      <c r="K331" s="65" t="n"/>
      <c r="L331" s="61" t="n"/>
    </row>
    <row r="332" ht="15.75" customHeight="1" s="114">
      <c r="A332" s="51" t="n"/>
      <c r="B332" s="52" t="n"/>
      <c r="C332" s="52" t="n"/>
      <c r="D332" s="53" t="n"/>
      <c r="E332" s="54" t="n"/>
      <c r="F332" s="52" t="n"/>
      <c r="G332" s="52" t="n"/>
      <c r="H332" s="52" t="n"/>
      <c r="I332" s="52" t="n"/>
      <c r="J332" s="52" t="n"/>
      <c r="K332" s="55" t="n"/>
      <c r="L332" s="56" t="n"/>
    </row>
    <row r="333" ht="15.75" customHeight="1" s="114">
      <c r="A333" s="57" t="n"/>
      <c r="B333" s="58" t="n"/>
      <c r="C333" s="58" t="n"/>
      <c r="D333" s="64" t="n"/>
      <c r="E333" s="54" t="n"/>
      <c r="F333" s="58" t="n"/>
      <c r="G333" s="58" t="n"/>
      <c r="H333" s="58" t="n"/>
      <c r="I333" s="58" t="n"/>
      <c r="J333" s="58" t="n"/>
      <c r="K333" s="65" t="n"/>
      <c r="L333" s="61" t="n"/>
    </row>
    <row r="334" ht="15.75" customHeight="1" s="114">
      <c r="A334" s="51" t="n"/>
      <c r="B334" s="52" t="n"/>
      <c r="C334" s="52" t="n"/>
      <c r="D334" s="53" t="n"/>
      <c r="E334" s="54" t="n"/>
      <c r="F334" s="52" t="n"/>
      <c r="G334" s="52" t="n"/>
      <c r="H334" s="52" t="n"/>
      <c r="I334" s="52" t="n"/>
      <c r="J334" s="52" t="n"/>
      <c r="K334" s="55" t="n"/>
      <c r="L334" s="56" t="n"/>
    </row>
    <row r="335" ht="15.75" customHeight="1" s="114">
      <c r="A335" s="57" t="n"/>
      <c r="B335" s="58" t="n"/>
      <c r="C335" s="58" t="n"/>
      <c r="D335" s="64" t="n"/>
      <c r="E335" s="54" t="n"/>
      <c r="F335" s="58" t="n"/>
      <c r="G335" s="58" t="n"/>
      <c r="H335" s="58" t="n"/>
      <c r="I335" s="58" t="n"/>
      <c r="J335" s="58" t="n"/>
      <c r="K335" s="65" t="n"/>
      <c r="L335" s="61" t="n"/>
    </row>
    <row r="336" ht="15.75" customHeight="1" s="114">
      <c r="A336" s="51" t="n"/>
      <c r="B336" s="52" t="n"/>
      <c r="C336" s="52" t="n"/>
      <c r="D336" s="53" t="n"/>
      <c r="E336" s="54" t="n"/>
      <c r="F336" s="52" t="n"/>
      <c r="G336" s="52" t="n"/>
      <c r="H336" s="52" t="n"/>
      <c r="I336" s="52" t="n"/>
      <c r="J336" s="52" t="n"/>
      <c r="K336" s="55" t="n"/>
      <c r="L336" s="56" t="n"/>
    </row>
    <row r="337" ht="15.75" customHeight="1" s="114">
      <c r="A337" s="57" t="n"/>
      <c r="B337" s="58" t="n"/>
      <c r="C337" s="58" t="n"/>
      <c r="D337" s="64" t="n"/>
      <c r="E337" s="54" t="n"/>
      <c r="F337" s="58" t="n"/>
      <c r="G337" s="58" t="n"/>
      <c r="H337" s="58" t="n"/>
      <c r="I337" s="58" t="n"/>
      <c r="J337" s="58" t="n"/>
      <c r="K337" s="65" t="n"/>
      <c r="L337" s="61" t="n"/>
    </row>
    <row r="338" ht="15.75" customHeight="1" s="114">
      <c r="A338" s="51" t="n"/>
      <c r="B338" s="52" t="n"/>
      <c r="C338" s="52" t="n"/>
      <c r="D338" s="53" t="n"/>
      <c r="E338" s="54" t="n"/>
      <c r="F338" s="52" t="n"/>
      <c r="G338" s="52" t="n"/>
      <c r="H338" s="52" t="n"/>
      <c r="I338" s="52" t="n"/>
      <c r="J338" s="52" t="n"/>
      <c r="K338" s="55" t="n"/>
      <c r="L338" s="56" t="n"/>
    </row>
    <row r="339" ht="15.75" customHeight="1" s="114">
      <c r="A339" s="57" t="n"/>
      <c r="B339" s="58" t="n"/>
      <c r="C339" s="58" t="n"/>
      <c r="D339" s="64" t="n"/>
      <c r="E339" s="54" t="n"/>
      <c r="F339" s="58" t="n"/>
      <c r="G339" s="58" t="n"/>
      <c r="H339" s="58" t="n"/>
      <c r="I339" s="58" t="n"/>
      <c r="J339" s="58" t="n"/>
      <c r="K339" s="65" t="n"/>
      <c r="L339" s="61" t="n"/>
    </row>
    <row r="340" ht="15.75" customHeight="1" s="114">
      <c r="A340" s="51" t="n"/>
      <c r="B340" s="52" t="n"/>
      <c r="C340" s="52" t="n"/>
      <c r="D340" s="53" t="n"/>
      <c r="E340" s="54" t="n"/>
      <c r="F340" s="52" t="n"/>
      <c r="G340" s="52" t="n"/>
      <c r="H340" s="52" t="n"/>
      <c r="I340" s="52" t="n"/>
      <c r="J340" s="52" t="n"/>
      <c r="K340" s="55" t="n"/>
      <c r="L340" s="56" t="n"/>
    </row>
    <row r="341" ht="15.75" customHeight="1" s="114">
      <c r="A341" s="57" t="n"/>
      <c r="B341" s="58" t="n"/>
      <c r="C341" s="58" t="n"/>
      <c r="D341" s="64" t="n"/>
      <c r="E341" s="54" t="n"/>
      <c r="F341" s="58" t="n"/>
      <c r="G341" s="58" t="n"/>
      <c r="H341" s="58" t="n"/>
      <c r="I341" s="58" t="n"/>
      <c r="J341" s="58" t="n"/>
      <c r="K341" s="65" t="n"/>
      <c r="L341" s="61" t="n"/>
    </row>
    <row r="342" ht="15.75" customHeight="1" s="114">
      <c r="A342" s="51" t="n"/>
      <c r="B342" s="52" t="n"/>
      <c r="C342" s="52" t="n"/>
      <c r="D342" s="53" t="n"/>
      <c r="E342" s="54" t="n"/>
      <c r="F342" s="52" t="n"/>
      <c r="G342" s="52" t="n"/>
      <c r="H342" s="52" t="n"/>
      <c r="I342" s="52" t="n"/>
      <c r="J342" s="52" t="n"/>
      <c r="K342" s="55" t="n"/>
      <c r="L342" s="56" t="n"/>
    </row>
    <row r="343" ht="15.75" customHeight="1" s="114">
      <c r="A343" s="57" t="n"/>
      <c r="B343" s="58" t="n"/>
      <c r="C343" s="58" t="n"/>
      <c r="D343" s="64" t="n"/>
      <c r="E343" s="54" t="n"/>
      <c r="F343" s="58" t="n"/>
      <c r="G343" s="58" t="n"/>
      <c r="H343" s="58" t="n"/>
      <c r="I343" s="58" t="n"/>
      <c r="J343" s="58" t="n"/>
      <c r="K343" s="65" t="n"/>
      <c r="L343" s="61" t="n"/>
    </row>
    <row r="344" ht="15.75" customHeight="1" s="114">
      <c r="A344" s="51" t="n"/>
      <c r="B344" s="52" t="n"/>
      <c r="C344" s="52" t="n"/>
      <c r="D344" s="53" t="n"/>
      <c r="E344" s="54" t="n"/>
      <c r="F344" s="52" t="n"/>
      <c r="G344" s="52" t="n"/>
      <c r="H344" s="52" t="n"/>
      <c r="I344" s="52" t="n"/>
      <c r="J344" s="52" t="n"/>
      <c r="K344" s="55" t="n"/>
      <c r="L344" s="56" t="n"/>
    </row>
    <row r="345" ht="15.75" customHeight="1" s="114">
      <c r="A345" s="57" t="n"/>
      <c r="B345" s="58" t="n"/>
      <c r="C345" s="58" t="n"/>
      <c r="D345" s="64" t="n"/>
      <c r="E345" s="54" t="n"/>
      <c r="F345" s="58" t="n"/>
      <c r="G345" s="58" t="n"/>
      <c r="H345" s="58" t="n"/>
      <c r="I345" s="58" t="n"/>
      <c r="J345" s="58" t="n"/>
      <c r="K345" s="65" t="n"/>
      <c r="L345" s="61" t="n"/>
    </row>
    <row r="346" ht="15.75" customHeight="1" s="114">
      <c r="A346" s="51" t="n"/>
      <c r="B346" s="52" t="n"/>
      <c r="C346" s="52" t="n"/>
      <c r="D346" s="53" t="n"/>
      <c r="E346" s="54" t="n"/>
      <c r="F346" s="52" t="n"/>
      <c r="G346" s="52" t="n"/>
      <c r="H346" s="52" t="n"/>
      <c r="I346" s="52" t="n"/>
      <c r="J346" s="52" t="n"/>
      <c r="K346" s="55" t="n"/>
      <c r="L346" s="56" t="n"/>
    </row>
    <row r="347" ht="15.75" customHeight="1" s="114">
      <c r="A347" s="57" t="n"/>
      <c r="B347" s="58" t="n"/>
      <c r="C347" s="58" t="n"/>
      <c r="D347" s="64" t="n"/>
      <c r="E347" s="54" t="n"/>
      <c r="F347" s="58" t="n"/>
      <c r="G347" s="58" t="n"/>
      <c r="H347" s="58" t="n"/>
      <c r="I347" s="58" t="n"/>
      <c r="J347" s="58" t="n"/>
      <c r="K347" s="65" t="n"/>
      <c r="L347" s="61" t="n"/>
    </row>
    <row r="348" ht="15.75" customHeight="1" s="114">
      <c r="A348" s="51" t="n"/>
      <c r="B348" s="52" t="n"/>
      <c r="C348" s="52" t="n"/>
      <c r="D348" s="53" t="n"/>
      <c r="E348" s="54" t="n"/>
      <c r="F348" s="52" t="n"/>
      <c r="G348" s="52" t="n"/>
      <c r="H348" s="52" t="n"/>
      <c r="I348" s="52" t="n"/>
      <c r="J348" s="52" t="n"/>
      <c r="K348" s="55" t="n"/>
      <c r="L348" s="56" t="n"/>
    </row>
    <row r="349" ht="15.75" customHeight="1" s="114">
      <c r="A349" s="57" t="n"/>
      <c r="B349" s="58" t="n"/>
      <c r="C349" s="58" t="n"/>
      <c r="D349" s="64" t="n"/>
      <c r="E349" s="54" t="n"/>
      <c r="F349" s="58" t="n"/>
      <c r="G349" s="58" t="n"/>
      <c r="H349" s="58" t="n"/>
      <c r="I349" s="58" t="n"/>
      <c r="J349" s="58" t="n"/>
      <c r="K349" s="65" t="n"/>
      <c r="L349" s="61" t="n"/>
    </row>
    <row r="350" ht="15.75" customHeight="1" s="114">
      <c r="A350" s="51" t="n"/>
      <c r="B350" s="52" t="n"/>
      <c r="C350" s="52" t="n"/>
      <c r="D350" s="53" t="n"/>
      <c r="E350" s="54" t="n"/>
      <c r="F350" s="52" t="n"/>
      <c r="G350" s="52" t="n"/>
      <c r="H350" s="52" t="n"/>
      <c r="I350" s="52" t="n"/>
      <c r="J350" s="52" t="n"/>
      <c r="K350" s="55" t="n"/>
      <c r="L350" s="56" t="n"/>
    </row>
    <row r="351" ht="15.75" customHeight="1" s="114">
      <c r="A351" s="57" t="n"/>
      <c r="B351" s="58" t="n"/>
      <c r="C351" s="58" t="n"/>
      <c r="D351" s="64" t="n"/>
      <c r="E351" s="54" t="n"/>
      <c r="F351" s="58" t="n"/>
      <c r="G351" s="58" t="n"/>
      <c r="H351" s="58" t="n"/>
      <c r="I351" s="58" t="n"/>
      <c r="J351" s="58" t="n"/>
      <c r="K351" s="65" t="n"/>
      <c r="L351" s="61" t="n"/>
    </row>
    <row r="352" ht="15.75" customHeight="1" s="114">
      <c r="A352" s="51" t="n"/>
      <c r="B352" s="52" t="n"/>
      <c r="C352" s="52" t="n"/>
      <c r="D352" s="53" t="n"/>
      <c r="E352" s="54" t="n"/>
      <c r="F352" s="52" t="n"/>
      <c r="G352" s="52" t="n"/>
      <c r="H352" s="52" t="n"/>
      <c r="I352" s="52" t="n"/>
      <c r="J352" s="52" t="n"/>
      <c r="K352" s="55" t="n"/>
      <c r="L352" s="56" t="n"/>
    </row>
    <row r="353" ht="15.75" customHeight="1" s="114">
      <c r="A353" s="57" t="n"/>
      <c r="B353" s="58" t="n"/>
      <c r="C353" s="58" t="n"/>
      <c r="D353" s="64" t="n"/>
      <c r="E353" s="54" t="n"/>
      <c r="F353" s="58" t="n"/>
      <c r="G353" s="58" t="n"/>
      <c r="H353" s="58" t="n"/>
      <c r="I353" s="58" t="n"/>
      <c r="J353" s="58" t="n"/>
      <c r="K353" s="65" t="n"/>
      <c r="L353" s="61" t="n"/>
    </row>
    <row r="354" ht="15.75" customHeight="1" s="114">
      <c r="A354" s="51" t="n"/>
      <c r="B354" s="52" t="n"/>
      <c r="C354" s="52" t="n"/>
      <c r="D354" s="53" t="n"/>
      <c r="E354" s="54" t="n"/>
      <c r="F354" s="52" t="n"/>
      <c r="G354" s="52" t="n"/>
      <c r="H354" s="52" t="n"/>
      <c r="I354" s="52" t="n"/>
      <c r="J354" s="52" t="n"/>
      <c r="K354" s="55" t="n"/>
      <c r="L354" s="56" t="n"/>
    </row>
    <row r="355" ht="15.75" customHeight="1" s="114">
      <c r="A355" s="57" t="n"/>
      <c r="B355" s="58" t="n"/>
      <c r="C355" s="58" t="n"/>
      <c r="D355" s="64" t="n"/>
      <c r="E355" s="54" t="n"/>
      <c r="F355" s="58" t="n"/>
      <c r="G355" s="58" t="n"/>
      <c r="H355" s="58" t="n"/>
      <c r="I355" s="58" t="n"/>
      <c r="J355" s="58" t="n"/>
      <c r="K355" s="65" t="n"/>
      <c r="L355" s="61" t="n"/>
    </row>
    <row r="356" ht="15.75" customHeight="1" s="114">
      <c r="A356" s="51" t="n"/>
      <c r="B356" s="52" t="n"/>
      <c r="C356" s="52" t="n"/>
      <c r="D356" s="53" t="n"/>
      <c r="E356" s="54" t="n"/>
      <c r="F356" s="52" t="n"/>
      <c r="G356" s="52" t="n"/>
      <c r="H356" s="52" t="n"/>
      <c r="I356" s="52" t="n"/>
      <c r="J356" s="52" t="n"/>
      <c r="K356" s="55" t="n"/>
      <c r="L356" s="56" t="n"/>
    </row>
    <row r="357" ht="15.75" customHeight="1" s="114">
      <c r="A357" s="57" t="n"/>
      <c r="B357" s="58" t="n"/>
      <c r="C357" s="58" t="n"/>
      <c r="D357" s="64" t="n"/>
      <c r="E357" s="54" t="n"/>
      <c r="F357" s="58" t="n"/>
      <c r="G357" s="58" t="n"/>
      <c r="H357" s="58" t="n"/>
      <c r="I357" s="58" t="n"/>
      <c r="J357" s="58" t="n"/>
      <c r="K357" s="65" t="n"/>
      <c r="L357" s="61" t="n"/>
    </row>
    <row r="358" ht="15.75" customHeight="1" s="114">
      <c r="A358" s="51" t="n"/>
      <c r="B358" s="52" t="n"/>
      <c r="C358" s="52" t="n"/>
      <c r="D358" s="53" t="n"/>
      <c r="E358" s="54" t="n"/>
      <c r="F358" s="52" t="n"/>
      <c r="G358" s="52" t="n"/>
      <c r="H358" s="52" t="n"/>
      <c r="I358" s="52" t="n"/>
      <c r="J358" s="52" t="n"/>
      <c r="K358" s="55" t="n"/>
      <c r="L358" s="56" t="n"/>
    </row>
    <row r="359" ht="15.75" customHeight="1" s="114">
      <c r="A359" s="57" t="n"/>
      <c r="B359" s="58" t="n"/>
      <c r="C359" s="58" t="n"/>
      <c r="D359" s="64" t="n"/>
      <c r="E359" s="54" t="n"/>
      <c r="F359" s="58" t="n"/>
      <c r="G359" s="58" t="n"/>
      <c r="H359" s="58" t="n"/>
      <c r="I359" s="58" t="n"/>
      <c r="J359" s="58" t="n"/>
      <c r="K359" s="65" t="n"/>
      <c r="L359" s="61" t="n"/>
    </row>
    <row r="360" ht="15.75" customHeight="1" s="114">
      <c r="A360" s="51" t="n"/>
      <c r="B360" s="52" t="n"/>
      <c r="C360" s="52" t="n"/>
      <c r="D360" s="53" t="n"/>
      <c r="E360" s="54" t="n"/>
      <c r="F360" s="52" t="n"/>
      <c r="G360" s="52" t="n"/>
      <c r="H360" s="52" t="n"/>
      <c r="I360" s="52" t="n"/>
      <c r="J360" s="52" t="n"/>
      <c r="K360" s="55" t="n"/>
      <c r="L360" s="56" t="n"/>
    </row>
    <row r="361" ht="15.75" customHeight="1" s="114">
      <c r="A361" s="57" t="n"/>
      <c r="B361" s="58" t="n"/>
      <c r="C361" s="58" t="n"/>
      <c r="D361" s="64" t="n"/>
      <c r="E361" s="54" t="n"/>
      <c r="F361" s="58" t="n"/>
      <c r="G361" s="58" t="n"/>
      <c r="H361" s="58" t="n"/>
      <c r="I361" s="58" t="n"/>
      <c r="J361" s="58" t="n"/>
      <c r="K361" s="65" t="n"/>
      <c r="L361" s="61" t="n"/>
    </row>
    <row r="362" ht="15.75" customHeight="1" s="114">
      <c r="A362" s="51" t="n"/>
      <c r="B362" s="52" t="n"/>
      <c r="C362" s="52" t="n"/>
      <c r="D362" s="53" t="n"/>
      <c r="E362" s="54" t="n"/>
      <c r="F362" s="52" t="n"/>
      <c r="G362" s="52" t="n"/>
      <c r="H362" s="52" t="n"/>
      <c r="I362" s="52" t="n"/>
      <c r="J362" s="52" t="n"/>
      <c r="K362" s="55" t="n"/>
      <c r="L362" s="56" t="n"/>
    </row>
    <row r="363" ht="15.75" customHeight="1" s="114">
      <c r="A363" s="57" t="n"/>
      <c r="B363" s="58" t="n"/>
      <c r="C363" s="58" t="n"/>
      <c r="D363" s="64" t="n"/>
      <c r="E363" s="63" t="n"/>
      <c r="F363" s="58" t="n"/>
      <c r="G363" s="58" t="n"/>
      <c r="H363" s="58" t="n"/>
      <c r="I363" s="58" t="n"/>
      <c r="J363" s="58" t="n"/>
      <c r="K363" s="65" t="n"/>
      <c r="L363" s="61" t="n"/>
    </row>
    <row r="364" ht="15.75" customHeight="1" s="114">
      <c r="A364" s="51" t="n"/>
      <c r="B364" s="52" t="n"/>
      <c r="C364" s="52" t="n"/>
      <c r="D364" s="53" t="n"/>
      <c r="E364" s="54" t="n"/>
      <c r="F364" s="52" t="n"/>
      <c r="G364" s="52" t="n"/>
      <c r="H364" s="52" t="n"/>
      <c r="I364" s="52" t="n"/>
      <c r="J364" s="52" t="n"/>
      <c r="K364" s="55" t="n"/>
      <c r="L364" s="56" t="n"/>
    </row>
    <row r="365" ht="15.75" customHeight="1" s="114">
      <c r="A365" s="57" t="n"/>
      <c r="B365" s="58" t="n"/>
      <c r="C365" s="58" t="n"/>
      <c r="D365" s="64" t="n"/>
      <c r="E365" s="54" t="n"/>
      <c r="F365" s="58" t="n"/>
      <c r="G365" s="58" t="n"/>
      <c r="H365" s="58" t="n"/>
      <c r="I365" s="58" t="n"/>
      <c r="J365" s="58" t="n"/>
      <c r="K365" s="65" t="n"/>
      <c r="L365" s="61" t="n"/>
    </row>
    <row r="366" ht="15.75" customHeight="1" s="114">
      <c r="A366" s="51" t="n"/>
      <c r="B366" s="52" t="n"/>
      <c r="C366" s="52" t="n"/>
      <c r="D366" s="53" t="n"/>
      <c r="E366" s="54" t="n"/>
      <c r="F366" s="52" t="n"/>
      <c r="G366" s="52" t="n"/>
      <c r="H366" s="52" t="n"/>
      <c r="I366" s="52" t="n"/>
      <c r="J366" s="52" t="n"/>
      <c r="K366" s="55" t="n"/>
      <c r="L366" s="56" t="n"/>
    </row>
    <row r="367" ht="15.75" customHeight="1" s="114">
      <c r="A367" s="57" t="n"/>
      <c r="B367" s="58" t="n"/>
      <c r="C367" s="58" t="n"/>
      <c r="D367" s="64" t="n"/>
      <c r="E367" s="54" t="n"/>
      <c r="F367" s="58" t="n"/>
      <c r="G367" s="58" t="n"/>
      <c r="H367" s="58" t="n"/>
      <c r="I367" s="58" t="n"/>
      <c r="J367" s="58" t="n"/>
      <c r="K367" s="65" t="n"/>
      <c r="L367" s="61" t="n"/>
    </row>
    <row r="368" ht="15.75" customHeight="1" s="114">
      <c r="A368" s="51" t="n"/>
      <c r="B368" s="52" t="n"/>
      <c r="C368" s="52" t="n"/>
      <c r="D368" s="53" t="n"/>
      <c r="E368" s="54" t="n"/>
      <c r="F368" s="52" t="n"/>
      <c r="G368" s="52" t="n"/>
      <c r="H368" s="52" t="n"/>
      <c r="I368" s="52" t="n"/>
      <c r="J368" s="52" t="n"/>
      <c r="K368" s="55" t="n"/>
      <c r="L368" s="56" t="n"/>
    </row>
    <row r="369" ht="15.75" customHeight="1" s="114">
      <c r="A369" s="57" t="n"/>
      <c r="B369" s="58" t="n"/>
      <c r="C369" s="58" t="n"/>
      <c r="D369" s="64" t="n"/>
      <c r="E369" s="54" t="n"/>
      <c r="F369" s="58" t="n"/>
      <c r="G369" s="58" t="n"/>
      <c r="H369" s="58" t="n"/>
      <c r="I369" s="58" t="n"/>
      <c r="J369" s="58" t="n"/>
      <c r="K369" s="65" t="n"/>
      <c r="L369" s="61" t="n"/>
    </row>
    <row r="370" ht="15.75" customHeight="1" s="114">
      <c r="A370" s="51" t="n"/>
      <c r="B370" s="52" t="n"/>
      <c r="C370" s="52" t="n"/>
      <c r="D370" s="53" t="n"/>
      <c r="E370" s="54" t="n"/>
      <c r="F370" s="52" t="n"/>
      <c r="G370" s="52" t="n"/>
      <c r="H370" s="52" t="n"/>
      <c r="I370" s="52" t="n"/>
      <c r="J370" s="52" t="n"/>
      <c r="K370" s="55" t="n"/>
      <c r="L370" s="56" t="n"/>
    </row>
    <row r="371" ht="15.75" customHeight="1" s="114">
      <c r="A371" s="57" t="n"/>
      <c r="B371" s="58" t="n"/>
      <c r="C371" s="58" t="n"/>
      <c r="D371" s="64" t="n"/>
      <c r="E371" s="54" t="n"/>
      <c r="F371" s="58" t="n"/>
      <c r="G371" s="58" t="n"/>
      <c r="H371" s="58" t="n"/>
      <c r="I371" s="58" t="n"/>
      <c r="J371" s="58" t="n"/>
      <c r="K371" s="65" t="n"/>
      <c r="L371" s="61" t="n"/>
    </row>
    <row r="372" ht="15.75" customHeight="1" s="114">
      <c r="A372" s="51" t="n"/>
      <c r="B372" s="52" t="n"/>
      <c r="C372" s="52" t="n"/>
      <c r="D372" s="53" t="n"/>
      <c r="E372" s="54" t="n"/>
      <c r="F372" s="52" t="n"/>
      <c r="G372" s="52" t="n"/>
      <c r="H372" s="52" t="n"/>
      <c r="I372" s="52" t="n"/>
      <c r="J372" s="52" t="n"/>
      <c r="K372" s="55" t="n"/>
      <c r="L372" s="56" t="n"/>
    </row>
    <row r="373" ht="15.75" customHeight="1" s="114">
      <c r="A373" s="57" t="n"/>
      <c r="B373" s="58" t="n"/>
      <c r="C373" s="58" t="n"/>
      <c r="D373" s="64" t="n"/>
      <c r="E373" s="63" t="n"/>
      <c r="F373" s="58" t="n"/>
      <c r="G373" s="58" t="n"/>
      <c r="H373" s="58" t="n"/>
      <c r="I373" s="58" t="n"/>
      <c r="J373" s="58" t="n"/>
      <c r="K373" s="65" t="n"/>
      <c r="L373" s="61" t="n"/>
    </row>
    <row r="374" ht="15.75" customHeight="1" s="114">
      <c r="A374" s="51" t="n"/>
      <c r="B374" s="52" t="n"/>
      <c r="C374" s="52" t="n"/>
      <c r="D374" s="53" t="n"/>
      <c r="E374" s="54" t="n"/>
      <c r="F374" s="52" t="n"/>
      <c r="G374" s="52" t="n"/>
      <c r="H374" s="52" t="n"/>
      <c r="I374" s="52" t="n"/>
      <c r="J374" s="52" t="n"/>
      <c r="K374" s="55" t="n"/>
      <c r="L374" s="56" t="n"/>
    </row>
    <row r="375" ht="15.75" customHeight="1" s="114">
      <c r="A375" s="57" t="n"/>
      <c r="B375" s="58" t="n"/>
      <c r="C375" s="58" t="n"/>
      <c r="D375" s="64" t="n"/>
      <c r="E375" s="54" t="n"/>
      <c r="F375" s="58" t="n"/>
      <c r="G375" s="58" t="n"/>
      <c r="H375" s="58" t="n"/>
      <c r="I375" s="58" t="n"/>
      <c r="J375" s="58" t="n"/>
      <c r="K375" s="65" t="n"/>
      <c r="L375" s="61" t="n"/>
    </row>
    <row r="376" ht="15.75" customHeight="1" s="114">
      <c r="A376" s="51" t="n"/>
      <c r="B376" s="52" t="n"/>
      <c r="C376" s="52" t="n"/>
      <c r="D376" s="53" t="n"/>
      <c r="E376" s="62" t="n"/>
      <c r="F376" s="52" t="n"/>
      <c r="G376" s="52" t="n"/>
      <c r="H376" s="52" t="n"/>
      <c r="I376" s="52" t="n"/>
      <c r="J376" s="52" t="n"/>
      <c r="K376" s="55" t="n"/>
      <c r="L376" s="56" t="n"/>
    </row>
    <row r="377" ht="15.75" customHeight="1" s="114">
      <c r="A377" s="57" t="n"/>
      <c r="B377" s="58" t="n"/>
      <c r="C377" s="58" t="n"/>
      <c r="D377" s="64" t="n"/>
      <c r="E377" s="54" t="n"/>
      <c r="F377" s="58" t="n"/>
      <c r="G377" s="58" t="n"/>
      <c r="H377" s="58" t="n"/>
      <c r="I377" s="58" t="n"/>
      <c r="J377" s="58" t="n"/>
      <c r="K377" s="65" t="n"/>
      <c r="L377" s="61" t="n"/>
    </row>
    <row r="378" ht="15.75" customHeight="1" s="114">
      <c r="A378" s="51" t="n"/>
      <c r="B378" s="52" t="n"/>
      <c r="C378" s="52" t="n"/>
      <c r="D378" s="53" t="n"/>
      <c r="E378" s="54" t="n"/>
      <c r="F378" s="52" t="n"/>
      <c r="G378" s="52" t="n"/>
      <c r="H378" s="52" t="n"/>
      <c r="I378" s="52" t="n"/>
      <c r="J378" s="52" t="n"/>
      <c r="K378" s="55" t="n"/>
      <c r="L378" s="56" t="n"/>
    </row>
    <row r="379" ht="15.75" customHeight="1" s="114">
      <c r="A379" s="57" t="n"/>
      <c r="B379" s="58" t="n"/>
      <c r="C379" s="58" t="n"/>
      <c r="D379" s="64" t="n"/>
      <c r="E379" s="54" t="n"/>
      <c r="F379" s="58" t="n"/>
      <c r="G379" s="58" t="n"/>
      <c r="H379" s="58" t="n"/>
      <c r="I379" s="58" t="n"/>
      <c r="J379" s="58" t="n"/>
      <c r="K379" s="65" t="n"/>
      <c r="L379" s="61" t="n"/>
    </row>
    <row r="380" ht="15.75" customHeight="1" s="114">
      <c r="A380" s="51" t="n"/>
      <c r="B380" s="52" t="n"/>
      <c r="C380" s="52" t="n"/>
      <c r="D380" s="53" t="n"/>
      <c r="E380" s="54" t="n"/>
      <c r="F380" s="52" t="n"/>
      <c r="G380" s="52" t="n"/>
      <c r="H380" s="52" t="n"/>
      <c r="I380" s="52" t="n"/>
      <c r="J380" s="52" t="n"/>
      <c r="K380" s="55" t="n"/>
      <c r="L380" s="56" t="n"/>
    </row>
    <row r="381" ht="15.75" customHeight="1" s="114">
      <c r="A381" s="57" t="n"/>
      <c r="B381" s="58" t="n"/>
      <c r="C381" s="58" t="n"/>
      <c r="D381" s="64" t="n"/>
      <c r="E381" s="54" t="n"/>
      <c r="F381" s="58" t="n"/>
      <c r="G381" s="58" t="n"/>
      <c r="H381" s="58" t="n"/>
      <c r="I381" s="58" t="n"/>
      <c r="J381" s="58" t="n"/>
      <c r="K381" s="65" t="n"/>
      <c r="L381" s="61" t="n"/>
    </row>
    <row r="382" ht="15.75" customHeight="1" s="114">
      <c r="A382" s="51" t="n"/>
      <c r="B382" s="52" t="n"/>
      <c r="C382" s="52" t="n"/>
      <c r="D382" s="53" t="n"/>
      <c r="E382" s="54" t="n"/>
      <c r="F382" s="52" t="n"/>
      <c r="G382" s="52" t="n"/>
      <c r="H382" s="52" t="n"/>
      <c r="I382" s="52" t="n"/>
      <c r="J382" s="52" t="n"/>
      <c r="K382" s="55" t="n"/>
      <c r="L382" s="56" t="n"/>
    </row>
    <row r="383" ht="15.75" customHeight="1" s="114">
      <c r="A383" s="57" t="n"/>
      <c r="B383" s="58" t="n"/>
      <c r="C383" s="58" t="n"/>
      <c r="D383" s="64" t="n"/>
      <c r="E383" s="54" t="n"/>
      <c r="F383" s="58" t="n"/>
      <c r="G383" s="58" t="n"/>
      <c r="H383" s="58" t="n"/>
      <c r="I383" s="58" t="n"/>
      <c r="J383" s="58" t="n"/>
      <c r="K383" s="65" t="n"/>
      <c r="L383" s="61" t="n"/>
    </row>
    <row r="384" ht="15.75" customHeight="1" s="114">
      <c r="A384" s="51" t="n"/>
      <c r="B384" s="52" t="n"/>
      <c r="C384" s="52" t="n"/>
      <c r="D384" s="53" t="n"/>
      <c r="E384" s="54" t="n"/>
      <c r="F384" s="52" t="n"/>
      <c r="G384" s="52" t="n"/>
      <c r="H384" s="52" t="n"/>
      <c r="I384" s="52" t="n"/>
      <c r="J384" s="52" t="n"/>
      <c r="K384" s="55" t="n"/>
      <c r="L384" s="56" t="n"/>
    </row>
    <row r="385" ht="15.75" customHeight="1" s="114">
      <c r="A385" s="57" t="n"/>
      <c r="B385" s="58" t="n"/>
      <c r="C385" s="58" t="n"/>
      <c r="D385" s="64" t="n"/>
      <c r="E385" s="54" t="n"/>
      <c r="F385" s="58" t="n"/>
      <c r="G385" s="58" t="n"/>
      <c r="H385" s="58" t="n"/>
      <c r="I385" s="58" t="n"/>
      <c r="J385" s="58" t="n"/>
      <c r="K385" s="65" t="n"/>
      <c r="L385" s="61" t="n"/>
    </row>
    <row r="386" ht="15.75" customHeight="1" s="114">
      <c r="A386" s="51" t="n"/>
      <c r="B386" s="52" t="n"/>
      <c r="C386" s="52" t="n"/>
      <c r="D386" s="53" t="n"/>
      <c r="E386" s="54" t="n"/>
      <c r="F386" s="52" t="n"/>
      <c r="G386" s="52" t="n"/>
      <c r="H386" s="52" t="n"/>
      <c r="I386" s="52" t="n"/>
      <c r="J386" s="52" t="n"/>
      <c r="K386" s="55" t="n"/>
      <c r="L386" s="56" t="n"/>
    </row>
    <row r="387" ht="15.75" customHeight="1" s="114">
      <c r="A387" s="57" t="n"/>
      <c r="B387" s="58" t="n"/>
      <c r="C387" s="58" t="n"/>
      <c r="D387" s="64" t="n"/>
      <c r="E387" s="54" t="n"/>
      <c r="F387" s="58" t="n"/>
      <c r="G387" s="58" t="n"/>
      <c r="H387" s="58" t="n"/>
      <c r="I387" s="58" t="n"/>
      <c r="J387" s="58" t="n"/>
      <c r="K387" s="65" t="n"/>
      <c r="L387" s="61" t="n"/>
    </row>
    <row r="388" ht="15.75" customHeight="1" s="114">
      <c r="A388" s="51" t="n"/>
      <c r="B388" s="52" t="n"/>
      <c r="C388" s="52" t="n"/>
      <c r="D388" s="53" t="n"/>
      <c r="E388" s="54" t="n"/>
      <c r="F388" s="52" t="n"/>
      <c r="G388" s="52" t="n"/>
      <c r="H388" s="52" t="n"/>
      <c r="I388" s="52" t="n"/>
      <c r="J388" s="52" t="n"/>
      <c r="K388" s="55" t="n"/>
      <c r="L388" s="56" t="n"/>
    </row>
    <row r="389" ht="15.75" customHeight="1" s="114">
      <c r="A389" s="57" t="n"/>
      <c r="B389" s="58" t="n"/>
      <c r="C389" s="58" t="n"/>
      <c r="D389" s="64" t="n"/>
      <c r="E389" s="63" t="n"/>
      <c r="F389" s="58" t="n"/>
      <c r="G389" s="58" t="n"/>
      <c r="H389" s="58" t="n"/>
      <c r="I389" s="58" t="n"/>
      <c r="J389" s="58" t="n"/>
      <c r="K389" s="65" t="n"/>
      <c r="L389" s="61" t="n"/>
    </row>
    <row r="390" ht="15.75" customHeight="1" s="114">
      <c r="A390" s="51" t="n"/>
      <c r="B390" s="52" t="n"/>
      <c r="C390" s="52" t="n"/>
      <c r="D390" s="53" t="n"/>
      <c r="E390" s="54" t="n"/>
      <c r="F390" s="52" t="n"/>
      <c r="G390" s="52" t="n"/>
      <c r="H390" s="52" t="n"/>
      <c r="I390" s="52" t="n"/>
      <c r="J390" s="52" t="n"/>
      <c r="K390" s="55" t="n"/>
      <c r="L390" s="56" t="n"/>
    </row>
    <row r="391" ht="15.75" customHeight="1" s="114">
      <c r="A391" s="57" t="n"/>
      <c r="B391" s="58" t="n"/>
      <c r="C391" s="58" t="n"/>
      <c r="D391" s="64" t="n"/>
      <c r="E391" s="54" t="n"/>
      <c r="F391" s="58" t="n"/>
      <c r="G391" s="58" t="n"/>
      <c r="H391" s="58" t="n"/>
      <c r="I391" s="58" t="n"/>
      <c r="J391" s="58" t="n"/>
      <c r="K391" s="65" t="n"/>
      <c r="L391" s="61" t="n"/>
    </row>
    <row r="392" ht="15.75" customHeight="1" s="114">
      <c r="A392" s="51" t="n"/>
      <c r="B392" s="52" t="n"/>
      <c r="C392" s="52" t="n"/>
      <c r="D392" s="53" t="n"/>
      <c r="E392" s="54" t="n"/>
      <c r="F392" s="52" t="n"/>
      <c r="G392" s="52" t="n"/>
      <c r="H392" s="52" t="n"/>
      <c r="I392" s="52" t="n"/>
      <c r="J392" s="52" t="n"/>
      <c r="K392" s="55" t="n"/>
      <c r="L392" s="56" t="n"/>
    </row>
    <row r="393" ht="15.75" customHeight="1" s="114">
      <c r="A393" s="57" t="n"/>
      <c r="B393" s="58" t="n"/>
      <c r="C393" s="58" t="n"/>
      <c r="D393" s="64" t="n"/>
      <c r="E393" s="54" t="n"/>
      <c r="F393" s="58" t="n"/>
      <c r="G393" s="58" t="n"/>
      <c r="H393" s="58" t="n"/>
      <c r="I393" s="58" t="n"/>
      <c r="J393" s="58" t="n"/>
      <c r="K393" s="65" t="n"/>
      <c r="L393" s="61" t="n"/>
    </row>
    <row r="394" ht="15.75" customHeight="1" s="114">
      <c r="A394" s="51" t="n"/>
      <c r="B394" s="52" t="n"/>
      <c r="C394" s="52" t="n"/>
      <c r="D394" s="53" t="n"/>
      <c r="E394" s="54" t="n"/>
      <c r="F394" s="52" t="n"/>
      <c r="G394" s="52" t="n"/>
      <c r="H394" s="52" t="n"/>
      <c r="I394" s="52" t="n"/>
      <c r="J394" s="52" t="n"/>
      <c r="K394" s="55" t="n"/>
      <c r="L394" s="56" t="n"/>
    </row>
    <row r="395" ht="15.75" customHeight="1" s="114">
      <c r="A395" s="57" t="n"/>
      <c r="B395" s="58" t="n"/>
      <c r="C395" s="58" t="n"/>
      <c r="D395" s="64" t="n"/>
      <c r="E395" s="54" t="n"/>
      <c r="F395" s="58" t="n"/>
      <c r="G395" s="58" t="n"/>
      <c r="H395" s="58" t="n"/>
      <c r="I395" s="58" t="n"/>
      <c r="J395" s="58" t="n"/>
      <c r="K395" s="65" t="n"/>
      <c r="L395" s="61" t="n"/>
    </row>
    <row r="396" ht="15.75" customHeight="1" s="114">
      <c r="A396" s="51" t="n"/>
      <c r="B396" s="52" t="n"/>
      <c r="C396" s="52" t="n"/>
      <c r="D396" s="53" t="n"/>
      <c r="E396" s="54" t="n"/>
      <c r="F396" s="52" t="n"/>
      <c r="G396" s="52" t="n"/>
      <c r="H396" s="52" t="n"/>
      <c r="I396" s="52" t="n"/>
      <c r="J396" s="52" t="n"/>
      <c r="K396" s="55" t="n"/>
      <c r="L396" s="56" t="n"/>
    </row>
    <row r="397" ht="15.75" customHeight="1" s="114">
      <c r="A397" s="57" t="n"/>
      <c r="B397" s="58" t="n"/>
      <c r="C397" s="58" t="n"/>
      <c r="D397" s="64" t="n"/>
      <c r="E397" s="54" t="n"/>
      <c r="F397" s="58" t="n"/>
      <c r="G397" s="58" t="n"/>
      <c r="H397" s="58" t="n"/>
      <c r="I397" s="58" t="n"/>
      <c r="J397" s="58" t="n"/>
      <c r="K397" s="65" t="n"/>
      <c r="L397" s="61" t="n"/>
    </row>
    <row r="398" ht="15.75" customHeight="1" s="114">
      <c r="A398" s="51" t="n"/>
      <c r="B398" s="52" t="n"/>
      <c r="C398" s="52" t="n"/>
      <c r="D398" s="53" t="n"/>
      <c r="E398" s="54" t="n"/>
      <c r="F398" s="52" t="n"/>
      <c r="G398" s="52" t="n"/>
      <c r="H398" s="52" t="n"/>
      <c r="I398" s="52" t="n"/>
      <c r="J398" s="52" t="n"/>
      <c r="K398" s="55" t="n"/>
      <c r="L398" s="56" t="n"/>
    </row>
    <row r="399" ht="15.75" customHeight="1" s="114">
      <c r="A399" s="57" t="n"/>
      <c r="B399" s="58" t="n"/>
      <c r="C399" s="58" t="n"/>
      <c r="D399" s="64" t="n"/>
      <c r="E399" s="54" t="n"/>
      <c r="F399" s="58" t="n"/>
      <c r="G399" s="58" t="n"/>
      <c r="H399" s="58" t="n"/>
      <c r="I399" s="58" t="n"/>
      <c r="J399" s="58" t="n"/>
      <c r="K399" s="65" t="n"/>
      <c r="L399" s="61" t="n"/>
    </row>
    <row r="400" ht="15.75" customHeight="1" s="114">
      <c r="A400" s="51" t="n"/>
      <c r="B400" s="52" t="n"/>
      <c r="C400" s="52" t="n"/>
      <c r="D400" s="53" t="n"/>
      <c r="E400" s="54" t="n"/>
      <c r="F400" s="52" t="n"/>
      <c r="G400" s="52" t="n"/>
      <c r="H400" s="52" t="n"/>
      <c r="I400" s="52" t="n"/>
      <c r="J400" s="52" t="n"/>
      <c r="K400" s="55" t="n"/>
      <c r="L400" s="56" t="n"/>
    </row>
    <row r="401" ht="15.75" customHeight="1" s="114">
      <c r="A401" s="57" t="n"/>
      <c r="B401" s="58" t="n"/>
      <c r="C401" s="58" t="n"/>
      <c r="D401" s="64" t="n"/>
      <c r="E401" s="54" t="n"/>
      <c r="F401" s="58" t="n"/>
      <c r="G401" s="58" t="n"/>
      <c r="H401" s="58" t="n"/>
      <c r="I401" s="58" t="n"/>
      <c r="J401" s="58" t="n"/>
      <c r="K401" s="65" t="n"/>
      <c r="L401" s="61" t="n"/>
    </row>
    <row r="402" ht="15.75" customHeight="1" s="114">
      <c r="A402" s="51" t="n"/>
      <c r="B402" s="52" t="n"/>
      <c r="C402" s="52" t="n"/>
      <c r="D402" s="53" t="n"/>
      <c r="E402" s="54" t="n"/>
      <c r="F402" s="52" t="n"/>
      <c r="G402" s="52" t="n"/>
      <c r="H402" s="52" t="n"/>
      <c r="I402" s="52" t="n"/>
      <c r="J402" s="52" t="n"/>
      <c r="K402" s="55" t="n"/>
      <c r="L402" s="56" t="n"/>
    </row>
    <row r="403" ht="15.75" customHeight="1" s="114">
      <c r="A403" s="57" t="n"/>
      <c r="B403" s="58" t="n"/>
      <c r="C403" s="58" t="n"/>
      <c r="D403" s="64" t="n"/>
      <c r="E403" s="54" t="n"/>
      <c r="F403" s="58" t="n"/>
      <c r="G403" s="58" t="n"/>
      <c r="H403" s="58" t="n"/>
      <c r="I403" s="58" t="n"/>
      <c r="J403" s="58" t="n"/>
      <c r="K403" s="65" t="n"/>
      <c r="L403" s="61" t="n"/>
    </row>
    <row r="404" ht="15.75" customHeight="1" s="114">
      <c r="A404" s="51" t="n"/>
      <c r="B404" s="52" t="n"/>
      <c r="C404" s="52" t="n"/>
      <c r="D404" s="53" t="n"/>
      <c r="E404" s="54" t="n"/>
      <c r="F404" s="52" t="n"/>
      <c r="G404" s="52" t="n"/>
      <c r="H404" s="52" t="n"/>
      <c r="I404" s="52" t="n"/>
      <c r="J404" s="52" t="n"/>
      <c r="K404" s="55" t="n"/>
      <c r="L404" s="56" t="n"/>
    </row>
    <row r="405" ht="15.75" customHeight="1" s="114">
      <c r="A405" s="57" t="n"/>
      <c r="B405" s="58" t="n"/>
      <c r="C405" s="58" t="n"/>
      <c r="D405" s="64" t="n"/>
      <c r="E405" s="54" t="n"/>
      <c r="F405" s="58" t="n"/>
      <c r="G405" s="58" t="n"/>
      <c r="H405" s="58" t="n"/>
      <c r="I405" s="58" t="n"/>
      <c r="J405" s="58" t="n"/>
      <c r="K405" s="65" t="n"/>
      <c r="L405" s="61" t="n"/>
    </row>
    <row r="406" ht="15.75" customHeight="1" s="114">
      <c r="A406" s="51" t="n"/>
      <c r="B406" s="52" t="n"/>
      <c r="C406" s="52" t="n"/>
      <c r="D406" s="53" t="n"/>
      <c r="E406" s="63" t="n"/>
      <c r="F406" s="52" t="n"/>
      <c r="G406" s="52" t="n"/>
      <c r="H406" s="52" t="n"/>
      <c r="I406" s="52" t="n"/>
      <c r="J406" s="52" t="n"/>
      <c r="K406" s="55" t="n"/>
      <c r="L406" s="56" t="n"/>
    </row>
    <row r="407" ht="15.75" customHeight="1" s="114">
      <c r="A407" s="57" t="n"/>
      <c r="B407" s="58" t="n"/>
      <c r="C407" s="58" t="n"/>
      <c r="D407" s="64" t="n"/>
      <c r="E407" s="54" t="n"/>
      <c r="F407" s="58" t="n"/>
      <c r="G407" s="58" t="n"/>
      <c r="H407" s="58" t="n"/>
      <c r="I407" s="58" t="n"/>
      <c r="J407" s="58" t="n"/>
      <c r="K407" s="65" t="n"/>
      <c r="L407" s="61" t="n"/>
    </row>
    <row r="408" ht="15.75" customHeight="1" s="114">
      <c r="A408" s="51" t="n"/>
      <c r="B408" s="52" t="n"/>
      <c r="C408" s="52" t="n"/>
      <c r="D408" s="53" t="n"/>
      <c r="E408" s="54" t="n"/>
      <c r="F408" s="52" t="n"/>
      <c r="G408" s="52" t="n"/>
      <c r="H408" s="52" t="n"/>
      <c r="I408" s="52" t="n"/>
      <c r="J408" s="52" t="n"/>
      <c r="K408" s="55" t="n"/>
      <c r="L408" s="56" t="n"/>
    </row>
    <row r="409" ht="15.75" customHeight="1" s="114">
      <c r="A409" s="57" t="n"/>
      <c r="B409" s="58" t="n"/>
      <c r="C409" s="58" t="n"/>
      <c r="D409" s="64" t="n"/>
      <c r="E409" s="54" t="n"/>
      <c r="F409" s="58" t="n"/>
      <c r="G409" s="58" t="n"/>
      <c r="H409" s="58" t="n"/>
      <c r="I409" s="58" t="n"/>
      <c r="J409" s="58" t="n"/>
      <c r="K409" s="65" t="n"/>
      <c r="L409" s="61" t="n"/>
    </row>
    <row r="410" ht="15.75" customHeight="1" s="114">
      <c r="A410" s="51" t="n"/>
      <c r="B410" s="52" t="n"/>
      <c r="C410" s="52" t="n"/>
      <c r="D410" s="53" t="n"/>
      <c r="E410" s="54" t="n"/>
      <c r="F410" s="52" t="n"/>
      <c r="G410" s="52" t="n"/>
      <c r="H410" s="52" t="n"/>
      <c r="I410" s="52" t="n"/>
      <c r="J410" s="52" t="n"/>
      <c r="K410" s="55" t="n"/>
      <c r="L410" s="56" t="n"/>
    </row>
    <row r="411" ht="15.75" customHeight="1" s="114">
      <c r="A411" s="57" t="n"/>
      <c r="B411" s="58" t="n"/>
      <c r="C411" s="58" t="n"/>
      <c r="D411" s="64" t="n"/>
      <c r="E411" s="54" t="n"/>
      <c r="F411" s="58" t="n"/>
      <c r="G411" s="58" t="n"/>
      <c r="H411" s="58" t="n"/>
      <c r="I411" s="58" t="n"/>
      <c r="J411" s="58" t="n"/>
      <c r="K411" s="65" t="n"/>
      <c r="L411" s="61" t="n"/>
    </row>
    <row r="412" ht="15.75" customHeight="1" s="114">
      <c r="A412" s="51" t="n"/>
      <c r="B412" s="52" t="n"/>
      <c r="C412" s="52" t="n"/>
      <c r="D412" s="53" t="n"/>
      <c r="E412" s="54" t="n"/>
      <c r="F412" s="52" t="n"/>
      <c r="G412" s="52" t="n"/>
      <c r="H412" s="52" t="n"/>
      <c r="I412" s="52" t="n"/>
      <c r="J412" s="52" t="n"/>
      <c r="K412" s="55" t="n"/>
      <c r="L412" s="56" t="n"/>
    </row>
    <row r="413" ht="15.75" customHeight="1" s="114">
      <c r="A413" s="57" t="n"/>
      <c r="B413" s="58" t="n"/>
      <c r="C413" s="58" t="n"/>
      <c r="D413" s="64" t="n"/>
      <c r="E413" s="54" t="n"/>
      <c r="F413" s="58" t="n"/>
      <c r="G413" s="58" t="n"/>
      <c r="H413" s="58" t="n"/>
      <c r="I413" s="58" t="n"/>
      <c r="J413" s="58" t="n"/>
      <c r="K413" s="65" t="n"/>
      <c r="L413" s="61" t="n"/>
    </row>
    <row r="414" ht="15.75" customHeight="1" s="114">
      <c r="A414" s="51" t="n"/>
      <c r="B414" s="52" t="n"/>
      <c r="C414" s="52" t="n"/>
      <c r="D414" s="53" t="n"/>
      <c r="E414" s="62" t="n"/>
      <c r="F414" s="52" t="n"/>
      <c r="G414" s="52" t="n"/>
      <c r="H414" s="52" t="n"/>
      <c r="I414" s="52" t="n"/>
      <c r="J414" s="52" t="n"/>
      <c r="K414" s="55" t="n"/>
      <c r="L414" s="56" t="n"/>
    </row>
    <row r="415" ht="15.75" customHeight="1" s="114">
      <c r="A415" s="57" t="n"/>
      <c r="B415" s="58" t="n"/>
      <c r="C415" s="58" t="n"/>
      <c r="D415" s="64" t="n"/>
      <c r="E415" s="63" t="n"/>
      <c r="F415" s="58" t="n"/>
      <c r="G415" s="58" t="n"/>
      <c r="H415" s="58" t="n"/>
      <c r="I415" s="58" t="n"/>
      <c r="J415" s="58" t="n"/>
      <c r="K415" s="65" t="n"/>
      <c r="L415" s="61" t="n"/>
    </row>
    <row r="416" ht="15.75" customHeight="1" s="114">
      <c r="A416" s="51" t="n"/>
      <c r="B416" s="52" t="n"/>
      <c r="C416" s="52" t="n"/>
      <c r="D416" s="53" t="n"/>
      <c r="E416" s="54" t="n"/>
      <c r="F416" s="52" t="n"/>
      <c r="G416" s="52" t="n"/>
      <c r="H416" s="52" t="n"/>
      <c r="I416" s="52" t="n"/>
      <c r="J416" s="52" t="n"/>
      <c r="K416" s="55" t="n"/>
      <c r="L416" s="56" t="n"/>
    </row>
    <row r="417" ht="15.75" customHeight="1" s="114">
      <c r="A417" s="57" t="n"/>
      <c r="B417" s="58" t="n"/>
      <c r="C417" s="58" t="n"/>
      <c r="D417" s="64" t="n"/>
      <c r="E417" s="54" t="n"/>
      <c r="F417" s="58" t="n"/>
      <c r="G417" s="58" t="n"/>
      <c r="H417" s="58" t="n"/>
      <c r="I417" s="58" t="n"/>
      <c r="J417" s="58" t="n"/>
      <c r="K417" s="65" t="n"/>
      <c r="L417" s="61" t="n"/>
    </row>
    <row r="418" ht="15.75" customHeight="1" s="114">
      <c r="A418" s="51" t="n"/>
      <c r="B418" s="52" t="n"/>
      <c r="C418" s="52" t="n"/>
      <c r="D418" s="53" t="n"/>
      <c r="E418" s="54" t="n"/>
      <c r="F418" s="52" t="n"/>
      <c r="G418" s="52" t="n"/>
      <c r="H418" s="52" t="n"/>
      <c r="I418" s="52" t="n"/>
      <c r="J418" s="52" t="n"/>
      <c r="K418" s="55" t="n"/>
      <c r="L418" s="56" t="n"/>
    </row>
    <row r="419" ht="15.75" customHeight="1" s="114">
      <c r="A419" s="57" t="n"/>
      <c r="B419" s="58" t="n"/>
      <c r="C419" s="58" t="n"/>
      <c r="D419" s="64" t="n"/>
      <c r="E419" s="54" t="n"/>
      <c r="F419" s="58" t="n"/>
      <c r="G419" s="58" t="n"/>
      <c r="H419" s="58" t="n"/>
      <c r="I419" s="58" t="n"/>
      <c r="J419" s="58" t="n"/>
      <c r="K419" s="65" t="n"/>
      <c r="L419" s="61" t="n"/>
    </row>
    <row r="420" ht="15.75" customHeight="1" s="114">
      <c r="A420" s="51" t="n"/>
      <c r="B420" s="52" t="n"/>
      <c r="C420" s="52" t="n"/>
      <c r="D420" s="53" t="n"/>
      <c r="E420" s="54" t="n"/>
      <c r="F420" s="52" t="n"/>
      <c r="G420" s="52" t="n"/>
      <c r="H420" s="52" t="n"/>
      <c r="I420" s="52" t="n"/>
      <c r="J420" s="52" t="n"/>
      <c r="K420" s="55" t="n"/>
      <c r="L420" s="56" t="n"/>
    </row>
    <row r="421" ht="15.75" customHeight="1" s="114">
      <c r="A421" s="57" t="n"/>
      <c r="B421" s="58" t="n"/>
      <c r="C421" s="58" t="n"/>
      <c r="D421" s="64" t="n"/>
      <c r="E421" s="54" t="n"/>
      <c r="F421" s="58" t="n"/>
      <c r="G421" s="58" t="n"/>
      <c r="H421" s="58" t="n"/>
      <c r="I421" s="58" t="n"/>
      <c r="J421" s="58" t="n"/>
      <c r="K421" s="65" t="n"/>
      <c r="L421" s="61" t="n"/>
    </row>
    <row r="422" ht="15.75" customHeight="1" s="114">
      <c r="A422" s="51" t="n"/>
      <c r="B422" s="52" t="n"/>
      <c r="C422" s="52" t="n"/>
      <c r="D422" s="53" t="n"/>
      <c r="E422" s="54" t="n"/>
      <c r="F422" s="52" t="n"/>
      <c r="G422" s="52" t="n"/>
      <c r="H422" s="52" t="n"/>
      <c r="I422" s="52" t="n"/>
      <c r="J422" s="52" t="n"/>
      <c r="K422" s="55" t="n"/>
      <c r="L422" s="56" t="n"/>
    </row>
    <row r="423" ht="15.75" customHeight="1" s="114">
      <c r="A423" s="57" t="n"/>
      <c r="B423" s="58" t="n"/>
      <c r="C423" s="58" t="n"/>
      <c r="D423" s="64" t="n"/>
      <c r="E423" s="54" t="n"/>
      <c r="F423" s="58" t="n"/>
      <c r="G423" s="58" t="n"/>
      <c r="H423" s="58" t="n"/>
      <c r="I423" s="58" t="n"/>
      <c r="J423" s="58" t="n"/>
      <c r="K423" s="65" t="n"/>
      <c r="L423" s="61" t="n"/>
    </row>
    <row r="424" ht="15.75" customHeight="1" s="114">
      <c r="A424" s="51" t="n"/>
      <c r="B424" s="52" t="n"/>
      <c r="C424" s="52" t="n"/>
      <c r="D424" s="53" t="n"/>
      <c r="E424" s="54" t="n"/>
      <c r="F424" s="52" t="n"/>
      <c r="G424" s="52" t="n"/>
      <c r="H424" s="52" t="n"/>
      <c r="I424" s="52" t="n"/>
      <c r="J424" s="52" t="n"/>
      <c r="K424" s="55" t="n"/>
      <c r="L424" s="56" t="n"/>
    </row>
    <row r="425" ht="15.75" customHeight="1" s="114">
      <c r="A425" s="57" t="n"/>
      <c r="B425" s="58" t="n"/>
      <c r="C425" s="58" t="n"/>
      <c r="D425" s="64" t="n"/>
      <c r="E425" s="54" t="n"/>
      <c r="F425" s="58" t="n"/>
      <c r="G425" s="58" t="n"/>
      <c r="H425" s="58" t="n"/>
      <c r="I425" s="58" t="n"/>
      <c r="J425" s="58" t="n"/>
      <c r="K425" s="65" t="n"/>
      <c r="L425" s="61" t="n"/>
    </row>
    <row r="426" ht="15.75" customHeight="1" s="114">
      <c r="A426" s="51" t="n"/>
      <c r="B426" s="52" t="n"/>
      <c r="C426" s="52" t="n"/>
      <c r="D426" s="53" t="n"/>
      <c r="E426" s="63" t="n"/>
      <c r="F426" s="52" t="n"/>
      <c r="G426" s="52" t="n"/>
      <c r="H426" s="52" t="n"/>
      <c r="I426" s="52" t="n"/>
      <c r="J426" s="52" t="n"/>
      <c r="K426" s="55" t="n"/>
      <c r="L426" s="56" t="n"/>
    </row>
    <row r="427" ht="15.75" customHeight="1" s="114">
      <c r="A427" s="57" t="n"/>
      <c r="B427" s="58" t="n"/>
      <c r="C427" s="58" t="n"/>
      <c r="D427" s="64" t="n"/>
      <c r="E427" s="54" t="n"/>
      <c r="F427" s="58" t="n"/>
      <c r="G427" s="58" t="n"/>
      <c r="H427" s="58" t="n"/>
      <c r="I427" s="58" t="n"/>
      <c r="J427" s="58" t="n"/>
      <c r="K427" s="65" t="n"/>
      <c r="L427" s="61" t="n"/>
    </row>
    <row r="428" ht="15.75" customHeight="1" s="114">
      <c r="A428" s="51" t="n"/>
      <c r="B428" s="52" t="n"/>
      <c r="C428" s="52" t="n"/>
      <c r="D428" s="53" t="n"/>
      <c r="E428" s="54" t="n"/>
      <c r="F428" s="52" t="n"/>
      <c r="G428" s="52" t="n"/>
      <c r="H428" s="52" t="n"/>
      <c r="I428" s="52" t="n"/>
      <c r="J428" s="52" t="n"/>
      <c r="K428" s="55" t="n"/>
      <c r="L428" s="56" t="n"/>
    </row>
    <row r="429" ht="15.75" customHeight="1" s="114">
      <c r="A429" s="57" t="n"/>
      <c r="B429" s="58" t="n"/>
      <c r="C429" s="58" t="n"/>
      <c r="D429" s="64" t="n"/>
      <c r="E429" s="54" t="n"/>
      <c r="F429" s="58" t="n"/>
      <c r="G429" s="58" t="n"/>
      <c r="H429" s="58" t="n"/>
      <c r="I429" s="58" t="n"/>
      <c r="J429" s="58" t="n"/>
      <c r="K429" s="65" t="n"/>
      <c r="L429" s="61" t="n"/>
    </row>
    <row r="430" ht="15.75" customHeight="1" s="114">
      <c r="A430" s="51" t="n"/>
      <c r="B430" s="52" t="n"/>
      <c r="C430" s="52" t="n"/>
      <c r="D430" s="53" t="n"/>
      <c r="E430" s="54" t="n"/>
      <c r="F430" s="52" t="n"/>
      <c r="G430" s="52" t="n"/>
      <c r="H430" s="52" t="n"/>
      <c r="I430" s="52" t="n"/>
      <c r="J430" s="52" t="n"/>
      <c r="K430" s="55" t="n"/>
      <c r="L430" s="56" t="n"/>
    </row>
    <row r="431" ht="15.75" customHeight="1" s="114">
      <c r="A431" s="57" t="n"/>
      <c r="B431" s="58" t="n"/>
      <c r="C431" s="58" t="n"/>
      <c r="D431" s="64" t="n"/>
      <c r="E431" s="54" t="n"/>
      <c r="F431" s="58" t="n"/>
      <c r="G431" s="58" t="n"/>
      <c r="H431" s="58" t="n"/>
      <c r="I431" s="58" t="n"/>
      <c r="J431" s="58" t="n"/>
      <c r="K431" s="65" t="n"/>
      <c r="L431" s="61" t="n"/>
    </row>
    <row r="432" ht="15.75" customHeight="1" s="114">
      <c r="A432" s="51" t="n"/>
      <c r="B432" s="52" t="n"/>
      <c r="C432" s="52" t="n"/>
      <c r="D432" s="53" t="n"/>
      <c r="E432" s="54" t="n"/>
      <c r="F432" s="52" t="n"/>
      <c r="G432" s="52" t="n"/>
      <c r="H432" s="52" t="n"/>
      <c r="I432" s="52" t="n"/>
      <c r="J432" s="52" t="n"/>
      <c r="K432" s="55" t="n"/>
      <c r="L432" s="56" t="n"/>
    </row>
    <row r="433" ht="15.75" customHeight="1" s="114">
      <c r="A433" s="57" t="n"/>
      <c r="B433" s="58" t="n"/>
      <c r="C433" s="58" t="n"/>
      <c r="D433" s="64" t="n"/>
      <c r="E433" s="54" t="n"/>
      <c r="F433" s="58" t="n"/>
      <c r="G433" s="58" t="n"/>
      <c r="H433" s="58" t="n"/>
      <c r="I433" s="58" t="n"/>
      <c r="J433" s="58" t="n"/>
      <c r="K433" s="65" t="n"/>
      <c r="L433" s="61" t="n"/>
    </row>
    <row r="434" ht="15.75" customHeight="1" s="114">
      <c r="A434" s="51" t="n"/>
      <c r="B434" s="52" t="n"/>
      <c r="C434" s="52" t="n"/>
      <c r="D434" s="53" t="n"/>
      <c r="E434" s="54" t="n"/>
      <c r="F434" s="52" t="n"/>
      <c r="G434" s="52" t="n"/>
      <c r="H434" s="52" t="n"/>
      <c r="I434" s="52" t="n"/>
      <c r="J434" s="52" t="n"/>
      <c r="K434" s="55" t="n"/>
      <c r="L434" s="56" t="n"/>
    </row>
    <row r="435" ht="15.75" customHeight="1" s="114">
      <c r="A435" s="57" t="n"/>
      <c r="B435" s="58" t="n"/>
      <c r="C435" s="58" t="n"/>
      <c r="D435" s="64" t="n"/>
      <c r="E435" s="54" t="n"/>
      <c r="F435" s="58" t="n"/>
      <c r="G435" s="58" t="n"/>
      <c r="H435" s="58" t="n"/>
      <c r="I435" s="58" t="n"/>
      <c r="J435" s="58" t="n"/>
      <c r="K435" s="65" t="n"/>
      <c r="L435" s="61" t="n"/>
    </row>
    <row r="436" ht="15.75" customHeight="1" s="114">
      <c r="A436" s="51" t="n"/>
      <c r="B436" s="52" t="n"/>
      <c r="C436" s="52" t="n"/>
      <c r="D436" s="53" t="n"/>
      <c r="E436" s="54" t="n"/>
      <c r="F436" s="52" t="n"/>
      <c r="G436" s="52" t="n"/>
      <c r="H436" s="52" t="n"/>
      <c r="I436" s="52" t="n"/>
      <c r="J436" s="52" t="n"/>
      <c r="K436" s="55" t="n"/>
      <c r="L436" s="56" t="n"/>
    </row>
    <row r="437" ht="15.75" customHeight="1" s="114">
      <c r="A437" s="57" t="n"/>
      <c r="B437" s="58" t="n"/>
      <c r="C437" s="58" t="n"/>
      <c r="D437" s="64" t="n"/>
      <c r="E437" s="54" t="n"/>
      <c r="F437" s="58" t="n"/>
      <c r="G437" s="58" t="n"/>
      <c r="H437" s="58" t="n"/>
      <c r="I437" s="58" t="n"/>
      <c r="J437" s="58" t="n"/>
      <c r="K437" s="65" t="n"/>
      <c r="L437" s="61" t="n"/>
    </row>
    <row r="438" ht="15.75" customHeight="1" s="114">
      <c r="A438" s="51" t="n"/>
      <c r="B438" s="52" t="n"/>
      <c r="C438" s="52" t="n"/>
      <c r="D438" s="53" t="n"/>
      <c r="E438" s="54" t="n"/>
      <c r="F438" s="52" t="n"/>
      <c r="G438" s="52" t="n"/>
      <c r="H438" s="52" t="n"/>
      <c r="I438" s="52" t="n"/>
      <c r="J438" s="52" t="n"/>
      <c r="K438" s="55" t="n"/>
      <c r="L438" s="56" t="n"/>
    </row>
    <row r="439" ht="15.75" customHeight="1" s="114">
      <c r="A439" s="57" t="n"/>
      <c r="B439" s="58" t="n"/>
      <c r="C439" s="58" t="n"/>
      <c r="D439" s="64" t="n"/>
      <c r="E439" s="54" t="n"/>
      <c r="F439" s="58" t="n"/>
      <c r="G439" s="58" t="n"/>
      <c r="H439" s="58" t="n"/>
      <c r="I439" s="58" t="n"/>
      <c r="J439" s="58" t="n"/>
      <c r="K439" s="65" t="n"/>
      <c r="L439" s="61" t="n"/>
    </row>
    <row r="440" ht="15.75" customHeight="1" s="114">
      <c r="A440" s="51" t="n"/>
      <c r="B440" s="52" t="n"/>
      <c r="C440" s="52" t="n"/>
      <c r="D440" s="53" t="n"/>
      <c r="E440" s="54" t="n"/>
      <c r="F440" s="52" t="n"/>
      <c r="G440" s="52" t="n"/>
      <c r="H440" s="52" t="n"/>
      <c r="I440" s="52" t="n"/>
      <c r="J440" s="52" t="n"/>
      <c r="K440" s="55" t="n"/>
      <c r="L440" s="56" t="n"/>
    </row>
    <row r="441" ht="15.75" customHeight="1" s="114">
      <c r="A441" s="57" t="n"/>
      <c r="B441" s="58" t="n"/>
      <c r="C441" s="58" t="n"/>
      <c r="D441" s="64" t="n"/>
      <c r="E441" s="54" t="n"/>
      <c r="F441" s="58" t="n"/>
      <c r="G441" s="58" t="n"/>
      <c r="H441" s="58" t="n"/>
      <c r="I441" s="58" t="n"/>
      <c r="J441" s="58" t="n"/>
      <c r="K441" s="65" t="n"/>
      <c r="L441" s="61" t="n"/>
    </row>
    <row r="442" ht="15.75" customHeight="1" s="114">
      <c r="A442" s="51" t="n"/>
      <c r="B442" s="52" t="n"/>
      <c r="C442" s="52" t="n"/>
      <c r="D442" s="53" t="n"/>
      <c r="E442" s="63" t="n"/>
      <c r="F442" s="52" t="n"/>
      <c r="G442" s="52" t="n"/>
      <c r="H442" s="52" t="n"/>
      <c r="I442" s="52" t="n"/>
      <c r="J442" s="52" t="n"/>
      <c r="K442" s="55" t="n"/>
      <c r="L442" s="56" t="n"/>
    </row>
    <row r="443" ht="15.75" customHeight="1" s="114">
      <c r="A443" s="57" t="n"/>
      <c r="B443" s="58" t="n"/>
      <c r="C443" s="58" t="n"/>
      <c r="D443" s="64" t="n"/>
      <c r="E443" s="62" t="n"/>
      <c r="F443" s="58" t="n"/>
      <c r="G443" s="58" t="n"/>
      <c r="H443" s="58" t="n"/>
      <c r="I443" s="58" t="n"/>
      <c r="J443" s="58" t="n"/>
      <c r="K443" s="65" t="n"/>
      <c r="L443" s="61" t="n"/>
    </row>
    <row r="444" ht="15.75" customHeight="1" s="114">
      <c r="A444" s="51" t="n"/>
      <c r="B444" s="52" t="n"/>
      <c r="C444" s="52" t="n"/>
      <c r="D444" s="53" t="n"/>
      <c r="E444" s="54" t="n"/>
      <c r="F444" s="52" t="n"/>
      <c r="G444" s="52" t="n"/>
      <c r="H444" s="52" t="n"/>
      <c r="I444" s="52" t="n"/>
      <c r="J444" s="52" t="n"/>
      <c r="K444" s="55" t="n"/>
      <c r="L444" s="56" t="n"/>
    </row>
    <row r="445" ht="15.75" customHeight="1" s="114">
      <c r="A445" s="57" t="n"/>
      <c r="B445" s="58" t="n"/>
      <c r="C445" s="58" t="n"/>
      <c r="D445" s="64" t="n"/>
      <c r="E445" s="54" t="n"/>
      <c r="F445" s="58" t="n"/>
      <c r="G445" s="58" t="n"/>
      <c r="H445" s="58" t="n"/>
      <c r="I445" s="58" t="n"/>
      <c r="J445" s="58" t="n"/>
      <c r="K445" s="65" t="n"/>
      <c r="L445" s="61" t="n"/>
    </row>
    <row r="446" ht="15.75" customHeight="1" s="114">
      <c r="A446" s="51" t="n"/>
      <c r="B446" s="52" t="n"/>
      <c r="C446" s="52" t="n"/>
      <c r="D446" s="53" t="n"/>
      <c r="E446" s="54" t="n"/>
      <c r="F446" s="52" t="n"/>
      <c r="G446" s="52" t="n"/>
      <c r="H446" s="52" t="n"/>
      <c r="I446" s="52" t="n"/>
      <c r="J446" s="52" t="n"/>
      <c r="K446" s="55" t="n"/>
      <c r="L446" s="56" t="n"/>
    </row>
    <row r="447" ht="15.75" customHeight="1" s="114">
      <c r="A447" s="57" t="n"/>
      <c r="B447" s="58" t="n"/>
      <c r="C447" s="58" t="n"/>
      <c r="D447" s="64" t="n"/>
      <c r="E447" s="54" t="n"/>
      <c r="F447" s="58" t="n"/>
      <c r="G447" s="58" t="n"/>
      <c r="H447" s="58" t="n"/>
      <c r="I447" s="58" t="n"/>
      <c r="J447" s="58" t="n"/>
      <c r="K447" s="65" t="n"/>
      <c r="L447" s="61" t="n"/>
    </row>
    <row r="448" ht="15.75" customHeight="1" s="114">
      <c r="A448" s="51" t="n"/>
      <c r="B448" s="52" t="n"/>
      <c r="C448" s="52" t="n"/>
      <c r="D448" s="53" t="n"/>
      <c r="E448" s="54" t="n"/>
      <c r="F448" s="52" t="n"/>
      <c r="G448" s="52" t="n"/>
      <c r="H448" s="52" t="n"/>
      <c r="I448" s="52" t="n"/>
      <c r="J448" s="52" t="n"/>
      <c r="K448" s="55" t="n"/>
      <c r="L448" s="56" t="n"/>
    </row>
    <row r="449" ht="15.75" customHeight="1" s="114">
      <c r="A449" s="57" t="n"/>
      <c r="B449" s="58" t="n"/>
      <c r="C449" s="58" t="n"/>
      <c r="D449" s="64" t="n"/>
      <c r="E449" s="54" t="n"/>
      <c r="F449" s="58" t="n"/>
      <c r="G449" s="58" t="n"/>
      <c r="H449" s="58" t="n"/>
      <c r="I449" s="58" t="n"/>
      <c r="J449" s="58" t="n"/>
      <c r="K449" s="65" t="n"/>
      <c r="L449" s="61" t="n"/>
    </row>
    <row r="450" ht="15.75" customHeight="1" s="114">
      <c r="A450" s="51" t="n"/>
      <c r="B450" s="52" t="n"/>
      <c r="C450" s="52" t="n"/>
      <c r="D450" s="53" t="n"/>
      <c r="E450" s="63" t="n"/>
      <c r="F450" s="52" t="n"/>
      <c r="G450" s="52" t="n"/>
      <c r="H450" s="52" t="n"/>
      <c r="I450" s="52" t="n"/>
      <c r="J450" s="52" t="n"/>
      <c r="K450" s="55" t="n"/>
      <c r="L450" s="56" t="n"/>
    </row>
    <row r="451" ht="15.75" customHeight="1" s="114">
      <c r="A451" s="57" t="n"/>
      <c r="B451" s="58" t="n"/>
      <c r="C451" s="58" t="n"/>
      <c r="D451" s="64" t="n"/>
      <c r="E451" s="54" t="n"/>
      <c r="F451" s="58" t="n"/>
      <c r="G451" s="58" t="n"/>
      <c r="H451" s="58" t="n"/>
      <c r="I451" s="58" t="n"/>
      <c r="J451" s="58" t="n"/>
      <c r="K451" s="65" t="n"/>
      <c r="L451" s="61" t="n"/>
    </row>
    <row r="452" ht="15.75" customHeight="1" s="114">
      <c r="A452" s="51" t="n"/>
      <c r="B452" s="52" t="n"/>
      <c r="C452" s="52" t="n"/>
      <c r="D452" s="53" t="n"/>
      <c r="E452" s="54" t="n"/>
      <c r="F452" s="52" t="n"/>
      <c r="G452" s="52" t="n"/>
      <c r="H452" s="52" t="n"/>
      <c r="I452" s="52" t="n"/>
      <c r="J452" s="52" t="n"/>
      <c r="K452" s="55" t="n"/>
      <c r="L452" s="56" t="n"/>
    </row>
    <row r="453" ht="15.75" customHeight="1" s="114">
      <c r="A453" s="57" t="n"/>
      <c r="B453" s="58" t="n"/>
      <c r="C453" s="58" t="n"/>
      <c r="D453" s="64" t="n"/>
      <c r="E453" s="54" t="n"/>
      <c r="F453" s="58" t="n"/>
      <c r="G453" s="58" t="n"/>
      <c r="H453" s="58" t="n"/>
      <c r="I453" s="58" t="n"/>
      <c r="J453" s="58" t="n"/>
      <c r="K453" s="65" t="n"/>
      <c r="L453" s="61" t="n"/>
    </row>
    <row r="454" ht="15.75" customHeight="1" s="114">
      <c r="A454" s="51" t="n"/>
      <c r="B454" s="52" t="n"/>
      <c r="C454" s="52" t="n"/>
      <c r="D454" s="53" t="n"/>
      <c r="E454" s="54" t="n"/>
      <c r="F454" s="52" t="n"/>
      <c r="G454" s="52" t="n"/>
      <c r="H454" s="52" t="n"/>
      <c r="I454" s="52" t="n"/>
      <c r="J454" s="52" t="n"/>
      <c r="K454" s="55" t="n"/>
      <c r="L454" s="56" t="n"/>
    </row>
    <row r="455" ht="15.75" customHeight="1" s="114">
      <c r="A455" s="57" t="n"/>
      <c r="B455" s="58" t="n"/>
      <c r="C455" s="58" t="n"/>
      <c r="D455" s="64" t="n"/>
      <c r="E455" s="54" t="n"/>
      <c r="F455" s="58" t="n"/>
      <c r="G455" s="58" t="n"/>
      <c r="H455" s="58" t="n"/>
      <c r="I455" s="58" t="n"/>
      <c r="J455" s="58" t="n"/>
      <c r="K455" s="65" t="n"/>
      <c r="L455" s="61" t="n"/>
    </row>
    <row r="456" ht="15.75" customHeight="1" s="114">
      <c r="A456" s="51" t="n"/>
      <c r="B456" s="52" t="n"/>
      <c r="C456" s="52" t="n"/>
      <c r="D456" s="53" t="n"/>
      <c r="E456" s="54" t="n"/>
      <c r="F456" s="52" t="n"/>
      <c r="G456" s="52" t="n"/>
      <c r="H456" s="52" t="n"/>
      <c r="I456" s="52" t="n"/>
      <c r="J456" s="52" t="n"/>
      <c r="K456" s="55" t="n"/>
      <c r="L456" s="56" t="n"/>
    </row>
    <row r="457" ht="15.75" customHeight="1" s="114">
      <c r="A457" s="57" t="n"/>
      <c r="B457" s="58" t="n"/>
      <c r="C457" s="58" t="n"/>
      <c r="D457" s="64" t="n"/>
      <c r="E457" s="54" t="n"/>
      <c r="F457" s="58" t="n"/>
      <c r="G457" s="58" t="n"/>
      <c r="H457" s="58" t="n"/>
      <c r="I457" s="58" t="n"/>
      <c r="J457" s="58" t="n"/>
      <c r="K457" s="65" t="n"/>
      <c r="L457" s="61" t="n"/>
    </row>
    <row r="458" ht="15.75" customHeight="1" s="114">
      <c r="A458" s="51" t="n"/>
      <c r="B458" s="52" t="n"/>
      <c r="C458" s="52" t="n"/>
      <c r="D458" s="53" t="n"/>
      <c r="E458" s="54" t="n"/>
      <c r="F458" s="52" t="n"/>
      <c r="G458" s="52" t="n"/>
      <c r="H458" s="52" t="n"/>
      <c r="I458" s="52" t="n"/>
      <c r="J458" s="52" t="n"/>
      <c r="K458" s="55" t="n"/>
      <c r="L458" s="56" t="n"/>
    </row>
    <row r="459" ht="15.75" customHeight="1" s="114">
      <c r="A459" s="57" t="n"/>
      <c r="B459" s="58" t="n"/>
      <c r="C459" s="58" t="n"/>
      <c r="D459" s="64" t="n"/>
      <c r="E459" s="54" t="n"/>
      <c r="F459" s="58" t="n"/>
      <c r="G459" s="58" t="n"/>
      <c r="H459" s="58" t="n"/>
      <c r="I459" s="58" t="n"/>
      <c r="J459" s="58" t="n"/>
      <c r="K459" s="65" t="n"/>
      <c r="L459" s="61" t="n"/>
    </row>
    <row r="460" ht="15.75" customHeight="1" s="114">
      <c r="A460" s="51" t="n"/>
      <c r="B460" s="52" t="n"/>
      <c r="C460" s="52" t="n"/>
      <c r="D460" s="53" t="n"/>
      <c r="E460" s="54" t="n"/>
      <c r="F460" s="52" t="n"/>
      <c r="G460" s="52" t="n"/>
      <c r="H460" s="52" t="n"/>
      <c r="I460" s="52" t="n"/>
      <c r="J460" s="52" t="n"/>
      <c r="K460" s="55" t="n"/>
      <c r="L460" s="56" t="n"/>
    </row>
    <row r="461" ht="15.75" customHeight="1" s="114">
      <c r="A461" s="57" t="n"/>
      <c r="B461" s="58" t="n"/>
      <c r="C461" s="58" t="n"/>
      <c r="D461" s="64" t="n"/>
      <c r="E461" s="54" t="n"/>
      <c r="F461" s="58" t="n"/>
      <c r="G461" s="58" t="n"/>
      <c r="H461" s="58" t="n"/>
      <c r="I461" s="58" t="n"/>
      <c r="J461" s="58" t="n"/>
      <c r="K461" s="65" t="n"/>
      <c r="L461" s="61" t="n"/>
    </row>
    <row r="462" ht="15.75" customHeight="1" s="114">
      <c r="A462" s="51" t="n"/>
      <c r="B462" s="52" t="n"/>
      <c r="C462" s="52" t="n"/>
      <c r="D462" s="53" t="n"/>
      <c r="E462" s="54" t="n"/>
      <c r="F462" s="52" t="n"/>
      <c r="G462" s="52" t="n"/>
      <c r="H462" s="52" t="n"/>
      <c r="I462" s="52" t="n"/>
      <c r="J462" s="52" t="n"/>
      <c r="K462" s="55" t="n"/>
      <c r="L462" s="56" t="n"/>
    </row>
    <row r="463" ht="15.75" customHeight="1" s="114">
      <c r="A463" s="57" t="n"/>
      <c r="B463" s="58" t="n"/>
      <c r="C463" s="58" t="n"/>
      <c r="D463" s="64" t="n"/>
      <c r="E463" s="54" t="n"/>
      <c r="F463" s="58" t="n"/>
      <c r="G463" s="58" t="n"/>
      <c r="H463" s="58" t="n"/>
      <c r="I463" s="58" t="n"/>
      <c r="J463" s="58" t="n"/>
      <c r="K463" s="65" t="n"/>
      <c r="L463" s="61" t="n"/>
    </row>
    <row r="464" ht="15.75" customHeight="1" s="114">
      <c r="A464" s="51" t="n"/>
      <c r="B464" s="52" t="n"/>
      <c r="C464" s="52" t="n"/>
      <c r="D464" s="53" t="n"/>
      <c r="E464" s="54" t="n"/>
      <c r="F464" s="52" t="n"/>
      <c r="G464" s="52" t="n"/>
      <c r="H464" s="52" t="n"/>
      <c r="I464" s="52" t="n"/>
      <c r="J464" s="52" t="n"/>
      <c r="K464" s="55" t="n"/>
      <c r="L464" s="56" t="n"/>
    </row>
    <row r="465" ht="15.75" customHeight="1" s="114">
      <c r="A465" s="57" t="n"/>
      <c r="B465" s="58" t="n"/>
      <c r="C465" s="58" t="n"/>
      <c r="D465" s="64" t="n"/>
      <c r="E465" s="54" t="n"/>
      <c r="F465" s="58" t="n"/>
      <c r="G465" s="58" t="n"/>
      <c r="H465" s="58" t="n"/>
      <c r="I465" s="58" t="n"/>
      <c r="J465" s="58" t="n"/>
      <c r="K465" s="65" t="n"/>
      <c r="L465" s="61" t="n"/>
    </row>
    <row r="466" ht="15.75" customHeight="1" s="114">
      <c r="A466" s="51" t="n"/>
      <c r="B466" s="52" t="n"/>
      <c r="C466" s="52" t="n"/>
      <c r="D466" s="53" t="n"/>
      <c r="E466" s="54" t="n"/>
      <c r="F466" s="52" t="n"/>
      <c r="G466" s="52" t="n"/>
      <c r="H466" s="52" t="n"/>
      <c r="I466" s="52" t="n"/>
      <c r="J466" s="52" t="n"/>
      <c r="K466" s="55" t="n"/>
      <c r="L466" s="56" t="n"/>
    </row>
    <row r="467" ht="15.75" customHeight="1" s="114">
      <c r="A467" s="57" t="n"/>
      <c r="B467" s="58" t="n"/>
      <c r="C467" s="58" t="n"/>
      <c r="D467" s="64" t="n"/>
      <c r="E467" s="54" t="n"/>
      <c r="F467" s="58" t="n"/>
      <c r="G467" s="58" t="n"/>
      <c r="H467" s="58" t="n"/>
      <c r="I467" s="58" t="n"/>
      <c r="J467" s="58" t="n"/>
      <c r="K467" s="65" t="n"/>
      <c r="L467" s="61" t="n"/>
    </row>
    <row r="468" ht="15.75" customHeight="1" s="114">
      <c r="A468" s="51" t="n"/>
      <c r="B468" s="52" t="n"/>
      <c r="C468" s="52" t="n"/>
      <c r="D468" s="53" t="n"/>
      <c r="E468" s="54" t="n"/>
      <c r="F468" s="52" t="n"/>
      <c r="G468" s="52" t="n"/>
      <c r="H468" s="52" t="n"/>
      <c r="I468" s="52" t="n"/>
      <c r="J468" s="52" t="n"/>
      <c r="K468" s="55" t="n"/>
      <c r="L468" s="56" t="n"/>
    </row>
    <row r="469" ht="15.75" customHeight="1" s="114">
      <c r="A469" s="57" t="n"/>
      <c r="B469" s="58" t="n"/>
      <c r="C469" s="58" t="n"/>
      <c r="D469" s="64" t="n"/>
      <c r="E469" s="54" t="n"/>
      <c r="F469" s="58" t="n"/>
      <c r="G469" s="58" t="n"/>
      <c r="H469" s="58" t="n"/>
      <c r="I469" s="58" t="n"/>
      <c r="J469" s="58" t="n"/>
      <c r="K469" s="65" t="n"/>
      <c r="L469" s="61" t="n"/>
    </row>
    <row r="470" ht="15.75" customHeight="1" s="114">
      <c r="A470" s="51" t="n"/>
      <c r="B470" s="52" t="n"/>
      <c r="C470" s="52" t="n"/>
      <c r="D470" s="53" t="n"/>
      <c r="E470" s="63" t="n"/>
      <c r="F470" s="52" t="n"/>
      <c r="G470" s="52" t="n"/>
      <c r="H470" s="52" t="n"/>
      <c r="I470" s="52" t="n"/>
      <c r="J470" s="52" t="n"/>
      <c r="K470" s="55" t="n"/>
      <c r="L470" s="56" t="n"/>
    </row>
    <row r="471" ht="15.75" customHeight="1" s="114">
      <c r="A471" s="57" t="n"/>
      <c r="B471" s="58" t="n"/>
      <c r="C471" s="58" t="n"/>
      <c r="D471" s="64" t="n"/>
      <c r="E471" s="54" t="n"/>
      <c r="F471" s="58" t="n"/>
      <c r="G471" s="58" t="n"/>
      <c r="H471" s="58" t="n"/>
      <c r="I471" s="58" t="n"/>
      <c r="J471" s="58" t="n"/>
      <c r="K471" s="65" t="n"/>
      <c r="L471" s="61" t="n"/>
    </row>
    <row r="472" ht="15.75" customHeight="1" s="114">
      <c r="A472" s="51" t="n"/>
      <c r="B472" s="52" t="n"/>
      <c r="C472" s="52" t="n"/>
      <c r="D472" s="53" t="n"/>
      <c r="E472" s="54" t="n"/>
      <c r="F472" s="52" t="n"/>
      <c r="G472" s="52" t="n"/>
      <c r="H472" s="52" t="n"/>
      <c r="I472" s="52" t="n"/>
      <c r="J472" s="52" t="n"/>
      <c r="K472" s="55" t="n"/>
      <c r="L472" s="56" t="n"/>
    </row>
    <row r="473" ht="15.75" customHeight="1" s="114">
      <c r="A473" s="57" t="n"/>
      <c r="B473" s="58" t="n"/>
      <c r="C473" s="58" t="n"/>
      <c r="D473" s="64" t="n"/>
      <c r="E473" s="54" t="n"/>
      <c r="F473" s="58" t="n"/>
      <c r="G473" s="58" t="n"/>
      <c r="H473" s="58" t="n"/>
      <c r="I473" s="58" t="n"/>
      <c r="J473" s="58" t="n"/>
      <c r="K473" s="65" t="n"/>
      <c r="L473" s="61" t="n"/>
    </row>
    <row r="474" ht="15.75" customHeight="1" s="114">
      <c r="A474" s="51" t="n"/>
      <c r="B474" s="52" t="n"/>
      <c r="C474" s="52" t="n"/>
      <c r="D474" s="53" t="n"/>
      <c r="E474" s="54" t="n"/>
      <c r="F474" s="52" t="n"/>
      <c r="G474" s="52" t="n"/>
      <c r="H474" s="52" t="n"/>
      <c r="I474" s="52" t="n"/>
      <c r="J474" s="52" t="n"/>
      <c r="K474" s="55" t="n"/>
      <c r="L474" s="56" t="n"/>
    </row>
    <row r="475" ht="15.75" customHeight="1" s="114">
      <c r="A475" s="57" t="n"/>
      <c r="B475" s="58" t="n"/>
      <c r="C475" s="58" t="n"/>
      <c r="D475" s="64" t="n"/>
      <c r="E475" s="54" t="n"/>
      <c r="F475" s="58" t="n"/>
      <c r="G475" s="58" t="n"/>
      <c r="H475" s="58" t="n"/>
      <c r="I475" s="58" t="n"/>
      <c r="J475" s="58" t="n"/>
      <c r="K475" s="65" t="n"/>
      <c r="L475" s="61" t="n"/>
    </row>
    <row r="476" ht="15.75" customHeight="1" s="114">
      <c r="A476" s="51" t="n"/>
      <c r="B476" s="52" t="n"/>
      <c r="C476" s="52" t="n"/>
      <c r="D476" s="53" t="n"/>
      <c r="E476" s="54" t="n"/>
      <c r="F476" s="52" t="n"/>
      <c r="G476" s="52" t="n"/>
      <c r="H476" s="52" t="n"/>
      <c r="I476" s="52" t="n"/>
      <c r="J476" s="52" t="n"/>
      <c r="K476" s="55" t="n"/>
      <c r="L476" s="56" t="n"/>
    </row>
    <row r="477" ht="15.75" customHeight="1" s="114">
      <c r="A477" s="57" t="n"/>
      <c r="B477" s="58" t="n"/>
      <c r="C477" s="58" t="n"/>
      <c r="D477" s="64" t="n"/>
      <c r="E477" s="62" t="n"/>
      <c r="F477" s="58" t="n"/>
      <c r="G477" s="58" t="n"/>
      <c r="H477" s="58" t="n"/>
      <c r="I477" s="58" t="n"/>
      <c r="J477" s="58" t="n"/>
      <c r="K477" s="65" t="n"/>
      <c r="L477" s="61" t="n"/>
    </row>
    <row r="478" ht="15.75" customHeight="1" s="114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55" t="n"/>
      <c r="L478" s="56" t="n"/>
    </row>
    <row r="479" ht="15.75" customHeight="1" s="114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5" t="n"/>
      <c r="L479" s="61" t="n"/>
    </row>
    <row r="480" ht="15.75" customHeight="1" s="114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55" t="n"/>
      <c r="L480" s="56" t="n"/>
    </row>
    <row r="481" ht="15.75" customHeight="1" s="114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5" t="n"/>
      <c r="L481" s="61" t="n"/>
    </row>
    <row r="482" ht="15.75" customHeight="1" s="114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55" t="n"/>
      <c r="L482" s="56" t="n"/>
    </row>
    <row r="483" ht="15.75" customHeight="1" s="114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5" t="n"/>
      <c r="L483" s="61" t="n"/>
    </row>
    <row r="484" ht="15.75" customHeight="1" s="11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55" t="n"/>
      <c r="L484" s="56" t="n"/>
    </row>
    <row r="485" ht="15.75" customHeight="1" s="114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5" t="n"/>
      <c r="L485" s="61" t="n"/>
    </row>
    <row r="486" ht="15.75" customHeight="1" s="114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55" t="n"/>
      <c r="L486" s="56" t="n"/>
    </row>
    <row r="487" ht="15.75" customHeight="1" s="114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5" t="n"/>
      <c r="L487" s="61" t="n"/>
    </row>
    <row r="488" ht="15.75" customHeight="1" s="114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55" t="n"/>
      <c r="L488" s="56" t="n"/>
    </row>
    <row r="489" ht="15.75" customHeight="1" s="114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5" t="n"/>
      <c r="L489" s="61" t="n"/>
    </row>
    <row r="490" ht="15.75" customHeight="1" s="114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55" t="n"/>
      <c r="L490" s="56" t="n"/>
    </row>
    <row r="491" ht="15.75" customHeight="1" s="114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5" t="n"/>
      <c r="L491" s="61" t="n"/>
    </row>
    <row r="492" ht="15.75" customHeight="1" s="114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55" t="n"/>
      <c r="L492" s="56" t="n"/>
    </row>
    <row r="493" ht="15.75" customHeight="1" s="114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5" t="n"/>
      <c r="L493" s="61" t="n"/>
    </row>
    <row r="494" ht="15.75" customHeight="1" s="11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55" t="n"/>
      <c r="L494" s="56" t="n"/>
    </row>
    <row r="495" ht="15.75" customHeight="1" s="114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5" t="n"/>
      <c r="L495" s="61" t="n"/>
    </row>
    <row r="496" ht="15.75" customHeight="1" s="114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55" t="n"/>
      <c r="L496" s="56" t="n"/>
    </row>
    <row r="497" ht="15.75" customHeight="1" s="114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5" t="n"/>
      <c r="L497" s="61" t="n"/>
    </row>
    <row r="498" ht="15.75" customHeight="1" s="114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55" t="n"/>
      <c r="L498" s="56" t="n"/>
    </row>
    <row r="499" ht="15.75" customHeight="1" s="114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5" t="n"/>
      <c r="L499" s="61" t="n"/>
    </row>
    <row r="500" ht="15.75" customHeight="1" s="114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55" t="n"/>
      <c r="L500" s="56" t="n"/>
    </row>
    <row r="501" ht="15.75" customHeight="1" s="114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5" t="n"/>
      <c r="L501" s="61" t="n"/>
    </row>
    <row r="502" ht="15.75" customHeight="1" s="114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55" t="n"/>
      <c r="L502" s="56" t="n"/>
    </row>
    <row r="503" ht="15.75" customHeight="1" s="114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5" t="n"/>
      <c r="L503" s="61" t="n"/>
    </row>
    <row r="504" ht="15.75" customHeight="1" s="11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55" t="n"/>
      <c r="L504" s="56" t="n"/>
    </row>
    <row r="505" ht="15.75" customHeight="1" s="114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5" t="n"/>
      <c r="L505" s="61" t="n"/>
    </row>
    <row r="506" ht="15.75" customHeight="1" s="114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55" t="n"/>
      <c r="L506" s="56" t="n"/>
    </row>
    <row r="507" ht="15.75" customHeight="1" s="114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5" t="n"/>
      <c r="L507" s="61" t="n"/>
    </row>
    <row r="508" ht="15.75" customHeight="1" s="114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55" t="n"/>
      <c r="L508" s="56" t="n"/>
    </row>
    <row r="509" ht="15.75" customHeight="1" s="114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5" t="n"/>
      <c r="L509" s="61" t="n"/>
    </row>
    <row r="510" ht="15.75" customHeight="1" s="114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55" t="n"/>
      <c r="L510" s="56" t="n"/>
    </row>
    <row r="511" ht="15.75" customHeight="1" s="114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5" t="n"/>
      <c r="L511" s="61" t="n"/>
    </row>
    <row r="512" ht="15.75" customHeight="1" s="114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55" t="n"/>
      <c r="L512" s="56" t="n"/>
    </row>
    <row r="513" ht="15.75" customHeight="1" s="114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5" t="n"/>
      <c r="L513" s="61" t="n"/>
    </row>
    <row r="514" ht="15.75" customHeight="1" s="1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55" t="n"/>
      <c r="L514" s="56" t="n"/>
    </row>
    <row r="515" ht="15.75" customHeight="1" s="114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5" t="n"/>
      <c r="L515" s="61" t="n"/>
    </row>
    <row r="516" ht="15.75" customHeight="1" s="114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55" t="n"/>
      <c r="L516" s="56" t="n"/>
    </row>
    <row r="517" ht="15.75" customHeight="1" s="114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5" t="n"/>
      <c r="L517" s="61" t="n"/>
    </row>
    <row r="518" ht="15.75" customHeight="1" s="114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55" t="n"/>
      <c r="L518" s="56" t="n"/>
    </row>
    <row r="519" ht="15.75" customHeight="1" s="114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5" t="n"/>
      <c r="L519" s="61" t="n"/>
    </row>
    <row r="520" ht="15.75" customHeight="1" s="114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55" t="n"/>
      <c r="L520" s="56" t="n"/>
    </row>
    <row r="521" ht="15.75" customHeight="1" s="114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5" t="n"/>
      <c r="L521" s="61" t="n"/>
    </row>
    <row r="522" ht="15.75" customHeight="1" s="114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55" t="n"/>
      <c r="L522" s="56" t="n"/>
    </row>
    <row r="523" ht="15.75" customHeight="1" s="114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5" t="n"/>
      <c r="L523" s="61" t="n"/>
    </row>
    <row r="524" ht="15.75" customHeight="1" s="11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55" t="n"/>
      <c r="L524" s="56" t="n"/>
    </row>
    <row r="525" ht="15.75" customHeight="1" s="114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5" t="n"/>
      <c r="L525" s="61" t="n"/>
    </row>
    <row r="526" ht="15.75" customHeight="1" s="114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55" t="n"/>
      <c r="L526" s="56" t="n"/>
    </row>
    <row r="527" ht="15.75" customHeight="1" s="114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5" t="n"/>
      <c r="L527" s="61" t="n"/>
    </row>
    <row r="528" ht="15.75" customHeight="1" s="114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55" t="n"/>
      <c r="L528" s="56" t="n"/>
    </row>
    <row r="529" ht="15.75" customHeight="1" s="114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5" t="n"/>
      <c r="L529" s="61" t="n"/>
    </row>
    <row r="530" ht="15.75" customHeight="1" s="114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55" t="n"/>
      <c r="L530" s="56" t="n"/>
    </row>
    <row r="531" ht="15.75" customHeight="1" s="114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5" t="n"/>
      <c r="L531" s="61" t="n"/>
    </row>
    <row r="532" ht="15.75" customHeight="1" s="114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55" t="n"/>
      <c r="L532" s="56" t="n"/>
    </row>
    <row r="533" ht="15.75" customHeight="1" s="114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5" t="n"/>
      <c r="L533" s="61" t="n"/>
    </row>
    <row r="534" ht="15.75" customHeight="1" s="11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55" t="n"/>
      <c r="L534" s="56" t="n"/>
    </row>
    <row r="535" ht="15.75" customHeight="1" s="114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5" t="n"/>
      <c r="L535" s="61" t="n"/>
    </row>
    <row r="536" ht="15.75" customHeight="1" s="114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55" t="n"/>
      <c r="L536" s="56" t="n"/>
    </row>
    <row r="537" ht="15.75" customHeight="1" s="114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5" t="n"/>
      <c r="L537" s="61" t="n"/>
    </row>
    <row r="538" ht="15.75" customHeight="1" s="114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55" t="n"/>
      <c r="L538" s="56" t="n"/>
    </row>
    <row r="539" ht="15.75" customHeight="1" s="114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5" t="n"/>
      <c r="L539" s="61" t="n"/>
    </row>
    <row r="540" ht="15.75" customHeight="1" s="114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55" t="n"/>
      <c r="L540" s="56" t="n"/>
    </row>
    <row r="541" ht="15.75" customHeight="1" s="114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5" t="n"/>
      <c r="L541" s="61" t="n"/>
    </row>
    <row r="542" ht="15.75" customHeight="1" s="114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55" t="n"/>
      <c r="L542" s="56" t="n"/>
    </row>
    <row r="543" ht="15.75" customHeight="1" s="114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5" t="n"/>
      <c r="L543" s="61" t="n"/>
    </row>
    <row r="544" ht="15.75" customHeight="1" s="11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55" t="n"/>
      <c r="L544" s="56" t="n"/>
    </row>
    <row r="545" ht="15.75" customHeight="1" s="114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5" t="n"/>
      <c r="L545" s="61" t="n"/>
    </row>
    <row r="546" ht="15.75" customHeight="1" s="114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55" t="n"/>
      <c r="L546" s="56" t="n"/>
    </row>
    <row r="547" ht="15.75" customHeight="1" s="114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5" t="n"/>
      <c r="L547" s="61" t="n"/>
    </row>
    <row r="548" ht="15.75" customHeight="1" s="114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55" t="n"/>
      <c r="L548" s="56" t="n"/>
    </row>
    <row r="549" ht="15.75" customHeight="1" s="114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5" t="n"/>
      <c r="L549" s="61" t="n"/>
    </row>
    <row r="550" ht="15.75" customHeight="1" s="114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55" t="n"/>
      <c r="L550" s="56" t="n"/>
    </row>
    <row r="551" ht="15.75" customHeight="1" s="114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5" t="n"/>
      <c r="L551" s="61" t="n"/>
    </row>
    <row r="552" ht="15.75" customHeight="1" s="114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55" t="n"/>
      <c r="L552" s="56" t="n"/>
    </row>
    <row r="553" ht="15.75" customHeight="1" s="114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5" t="n"/>
      <c r="L553" s="61" t="n"/>
    </row>
    <row r="554" ht="15.75" customHeight="1" s="11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55" t="n"/>
      <c r="L554" s="56" t="n"/>
    </row>
    <row r="555" ht="15.75" customHeight="1" s="114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5" t="n"/>
      <c r="L555" s="61" t="n"/>
    </row>
    <row r="556" ht="15.75" customHeight="1" s="114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55" t="n"/>
      <c r="L556" s="56" t="n"/>
    </row>
    <row r="557" ht="15.75" customHeight="1" s="114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5" t="n"/>
      <c r="L557" s="61" t="n"/>
    </row>
    <row r="558" ht="15.75" customHeight="1" s="114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55" t="n"/>
      <c r="L558" s="56" t="n"/>
    </row>
    <row r="559" ht="15.75" customHeight="1" s="114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5" t="n"/>
      <c r="L559" s="61" t="n"/>
    </row>
    <row r="560" ht="15.75" customHeight="1" s="114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55" t="n"/>
      <c r="L560" s="56" t="n"/>
    </row>
    <row r="561" ht="15.75" customHeight="1" s="114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5" t="n"/>
      <c r="L561" s="61" t="n"/>
    </row>
    <row r="562" ht="15.75" customHeight="1" s="114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55" t="n"/>
      <c r="L562" s="56" t="n"/>
    </row>
    <row r="563" ht="15.75" customHeight="1" s="114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5" t="n"/>
      <c r="L563" s="61" t="n"/>
    </row>
    <row r="564" ht="15.75" customHeight="1" s="11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55" t="n"/>
      <c r="L564" s="56" t="n"/>
    </row>
    <row r="565" ht="15.75" customHeight="1" s="114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5" t="n"/>
      <c r="L565" s="61" t="n"/>
    </row>
    <row r="566" ht="15.75" customHeight="1" s="114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55" t="n"/>
      <c r="L566" s="56" t="n"/>
    </row>
    <row r="567" ht="15.75" customHeight="1" s="114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5" t="n"/>
      <c r="L567" s="61" t="n"/>
    </row>
    <row r="568" ht="15.75" customHeight="1" s="114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55" t="n"/>
      <c r="L568" s="56" t="n"/>
    </row>
    <row r="569" ht="15.75" customHeight="1" s="114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5" t="n"/>
      <c r="L569" s="61" t="n"/>
    </row>
    <row r="570" ht="15.75" customHeight="1" s="114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55" t="n"/>
      <c r="L570" s="56" t="n"/>
    </row>
    <row r="571" ht="15.75" customHeight="1" s="114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5" t="n"/>
      <c r="L571" s="61" t="n"/>
    </row>
    <row r="572" ht="15.75" customHeight="1" s="114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55" t="n"/>
      <c r="L572" s="56" t="n"/>
    </row>
    <row r="573" ht="15.75" customHeight="1" s="114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5" t="n"/>
      <c r="L573" s="61" t="n"/>
    </row>
    <row r="574" ht="15.75" customHeight="1" s="11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55" t="n"/>
      <c r="L574" s="56" t="n"/>
    </row>
    <row r="575" ht="15.75" customHeight="1" s="114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5" t="n"/>
      <c r="L575" s="61" t="n"/>
    </row>
    <row r="576" ht="15.75" customHeight="1" s="114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55" t="n"/>
      <c r="L576" s="56" t="n"/>
    </row>
    <row r="577" ht="15.75" customHeight="1" s="114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5" t="n"/>
      <c r="L577" s="61" t="n"/>
    </row>
    <row r="578" ht="15.75" customHeight="1" s="114">
      <c r="B578" s="67" t="n"/>
      <c r="C578" s="67" t="n"/>
      <c r="E578" s="67" t="n"/>
      <c r="F578" s="67" t="n"/>
      <c r="G578" s="67" t="n"/>
      <c r="K578" s="67" t="n"/>
    </row>
    <row r="579" ht="15.75" customHeight="1" s="114">
      <c r="K579" s="67" t="n"/>
    </row>
    <row r="580" ht="15.75" customHeight="1" s="114">
      <c r="K580" s="67" t="n"/>
    </row>
    <row r="581" ht="15.75" customHeight="1" s="114">
      <c r="K581" s="67" t="n"/>
    </row>
    <row r="582" ht="15.75" customHeight="1" s="114">
      <c r="K582" s="67" t="n"/>
    </row>
    <row r="583" ht="15.75" customHeight="1" s="114">
      <c r="K583" s="67" t="n"/>
    </row>
    <row r="584" ht="15.75" customHeight="1" s="114">
      <c r="K584" s="67" t="n"/>
    </row>
    <row r="585" ht="15.75" customHeight="1" s="114">
      <c r="K585" s="67" t="n"/>
    </row>
    <row r="586" ht="15.75" customHeight="1" s="114">
      <c r="K586" s="67" t="n"/>
    </row>
    <row r="587" ht="15.75" customHeight="1" s="114">
      <c r="K587" s="67" t="n"/>
    </row>
    <row r="588" ht="15.75" customHeight="1" s="114">
      <c r="K588" s="67" t="n"/>
    </row>
    <row r="589" ht="15.75" customHeight="1" s="114">
      <c r="K589" s="67" t="n"/>
    </row>
    <row r="590" ht="15.75" customHeight="1" s="114">
      <c r="K590" s="67" t="n"/>
    </row>
    <row r="591" ht="15.75" customHeight="1" s="114">
      <c r="K591" s="67" t="n"/>
    </row>
    <row r="592" ht="15.75" customHeight="1" s="114">
      <c r="K592" s="67" t="n"/>
    </row>
    <row r="593" ht="15.75" customHeight="1" s="114">
      <c r="K593" s="67" t="n"/>
    </row>
    <row r="594" ht="15.75" customHeight="1" s="114">
      <c r="K594" s="67" t="n"/>
    </row>
    <row r="595" ht="15.75" customHeight="1" s="114">
      <c r="K595" s="67" t="n"/>
    </row>
    <row r="596" ht="15.75" customHeight="1" s="114">
      <c r="K596" s="67" t="n"/>
    </row>
    <row r="597" ht="15.75" customHeight="1" s="114">
      <c r="K597" s="67" t="n"/>
    </row>
    <row r="598" ht="15.75" customHeight="1" s="114">
      <c r="K598" s="67" t="n"/>
    </row>
    <row r="599" ht="15.75" customHeight="1" s="114">
      <c r="K599" s="67" t="n"/>
    </row>
    <row r="600" ht="15.75" customHeight="1" s="114">
      <c r="K600" s="67" t="n"/>
    </row>
    <row r="601" ht="15.75" customHeight="1" s="114">
      <c r="K601" s="67" t="n"/>
    </row>
    <row r="602" ht="15.75" customHeight="1" s="114">
      <c r="K602" s="67" t="n"/>
    </row>
    <row r="603" ht="15.75" customHeight="1" s="114">
      <c r="K603" s="67" t="n"/>
    </row>
    <row r="604" ht="15.75" customHeight="1" s="114">
      <c r="K604" s="67" t="n"/>
    </row>
    <row r="605" ht="15.75" customHeight="1" s="114">
      <c r="K605" s="67" t="n"/>
    </row>
    <row r="606" ht="15.75" customHeight="1" s="114">
      <c r="K606" s="67" t="n"/>
    </row>
    <row r="607" ht="15.75" customHeight="1" s="114">
      <c r="K607" s="67" t="n"/>
    </row>
    <row r="608" ht="15.75" customHeight="1" s="114">
      <c r="K608" s="67" t="n"/>
    </row>
    <row r="609" ht="15.75" customHeight="1" s="114">
      <c r="K609" s="67" t="n"/>
    </row>
    <row r="610" ht="15.75" customHeight="1" s="114">
      <c r="K610" s="67" t="n"/>
    </row>
    <row r="611" ht="15.75" customHeight="1" s="114">
      <c r="K611" s="67" t="n"/>
    </row>
    <row r="612" ht="15.75" customHeight="1" s="114">
      <c r="K612" s="67" t="n"/>
    </row>
    <row r="613" ht="15.75" customHeight="1" s="114">
      <c r="K613" s="67" t="n"/>
    </row>
    <row r="614" ht="15.75" customHeight="1" s="114">
      <c r="K614" s="67" t="n"/>
    </row>
    <row r="615" ht="15.75" customHeight="1" s="114">
      <c r="K615" s="67" t="n"/>
    </row>
    <row r="616" ht="15.75" customHeight="1" s="114">
      <c r="K616" s="67" t="n"/>
    </row>
    <row r="617" ht="15.75" customHeight="1" s="114">
      <c r="K617" s="67" t="n"/>
    </row>
    <row r="618" ht="15.75" customHeight="1" s="114">
      <c r="K618" s="67" t="n"/>
    </row>
    <row r="619" ht="15.75" customHeight="1" s="114">
      <c r="K619" s="67" t="n"/>
    </row>
    <row r="620" ht="15.75" customHeight="1" s="114">
      <c r="K620" s="67" t="n"/>
    </row>
    <row r="621" ht="15.75" customHeight="1" s="114">
      <c r="K621" s="67" t="n"/>
    </row>
    <row r="622" ht="15.75" customHeight="1" s="114">
      <c r="K622" s="67" t="n"/>
    </row>
    <row r="623" ht="15.75" customHeight="1" s="114">
      <c r="K623" s="67" t="n"/>
    </row>
    <row r="624" ht="15.75" customHeight="1" s="114">
      <c r="K624" s="67" t="n"/>
    </row>
    <row r="625" ht="15.75" customHeight="1" s="114">
      <c r="K625" s="67" t="n"/>
    </row>
    <row r="626" ht="15.75" customHeight="1" s="114">
      <c r="K626" s="67" t="n"/>
    </row>
    <row r="627" ht="15.75" customHeight="1" s="114">
      <c r="K627" s="67" t="n"/>
    </row>
    <row r="628" ht="15.75" customHeight="1" s="114">
      <c r="K628" s="67" t="n"/>
    </row>
    <row r="629" ht="15.75" customHeight="1" s="114">
      <c r="K629" s="67" t="n"/>
    </row>
    <row r="630" ht="15.75" customHeight="1" s="114">
      <c r="K630" s="67" t="n"/>
    </row>
    <row r="631" ht="15.75" customHeight="1" s="114">
      <c r="K631" s="67" t="n"/>
    </row>
    <row r="632" ht="15.75" customHeight="1" s="114">
      <c r="K632" s="67" t="n"/>
    </row>
    <row r="633" ht="15.75" customHeight="1" s="114">
      <c r="K633" s="67" t="n"/>
    </row>
    <row r="634" ht="15.75" customHeight="1" s="114">
      <c r="K634" s="67" t="n"/>
    </row>
    <row r="635" ht="15.75" customHeight="1" s="114">
      <c r="K635" s="67" t="n"/>
    </row>
    <row r="636" ht="15.75" customHeight="1" s="114">
      <c r="K636" s="67" t="n"/>
    </row>
    <row r="637" ht="15.75" customHeight="1" s="114">
      <c r="K637" s="67" t="n"/>
    </row>
    <row r="638" ht="15.75" customHeight="1" s="114">
      <c r="K638" s="67" t="n"/>
    </row>
    <row r="639" ht="15.75" customHeight="1" s="114">
      <c r="K639" s="67" t="n"/>
    </row>
    <row r="640" ht="15.75" customHeight="1" s="114">
      <c r="K640" s="67" t="n"/>
    </row>
    <row r="641" ht="15.75" customHeight="1" s="114">
      <c r="K641" s="67" t="n"/>
    </row>
    <row r="642" ht="15.75" customHeight="1" s="114">
      <c r="K642" s="67" t="n"/>
    </row>
    <row r="643" ht="15.75" customHeight="1" s="114">
      <c r="K643" s="67" t="n"/>
    </row>
    <row r="644" ht="15.75" customHeight="1" s="114">
      <c r="K644" s="67" t="n"/>
    </row>
    <row r="645" ht="15.75" customHeight="1" s="114">
      <c r="K645" s="67" t="n"/>
    </row>
    <row r="646" ht="15.75" customHeight="1" s="114">
      <c r="K646" s="67" t="n"/>
    </row>
    <row r="647" ht="15.75" customHeight="1" s="114">
      <c r="K647" s="67" t="n"/>
    </row>
    <row r="648" ht="15.75" customHeight="1" s="114">
      <c r="K648" s="67" t="n"/>
    </row>
    <row r="649" ht="15.75" customHeight="1" s="114">
      <c r="K649" s="67" t="n"/>
    </row>
    <row r="650" ht="15.75" customHeight="1" s="114">
      <c r="K650" s="67" t="n"/>
    </row>
    <row r="651" ht="15.75" customHeight="1" s="114">
      <c r="K651" s="67" t="n"/>
    </row>
    <row r="652" ht="15.75" customHeight="1" s="114">
      <c r="K652" s="67" t="n"/>
    </row>
    <row r="653" ht="15.75" customHeight="1" s="114">
      <c r="K653" s="67" t="n"/>
    </row>
    <row r="654" ht="15.75" customHeight="1" s="114">
      <c r="K654" s="67" t="n"/>
    </row>
    <row r="655" ht="15.75" customHeight="1" s="114">
      <c r="K655" s="67" t="n"/>
    </row>
    <row r="656" ht="15.75" customHeight="1" s="114">
      <c r="K656" s="67" t="n"/>
    </row>
    <row r="657" ht="15.75" customHeight="1" s="114">
      <c r="K657" s="67" t="n"/>
    </row>
    <row r="658" ht="15.75" customHeight="1" s="114">
      <c r="K658" s="67" t="n"/>
    </row>
    <row r="659" ht="15.75" customHeight="1" s="114">
      <c r="K659" s="67" t="n"/>
    </row>
    <row r="660" ht="15.75" customHeight="1" s="114">
      <c r="K660" s="67" t="n"/>
    </row>
    <row r="661" ht="15.75" customHeight="1" s="114">
      <c r="K661" s="67" t="n"/>
    </row>
    <row r="662" ht="15.75" customHeight="1" s="114">
      <c r="K662" s="67" t="n"/>
    </row>
    <row r="663" ht="15.75" customHeight="1" s="114">
      <c r="K663" s="67" t="n"/>
    </row>
    <row r="664" ht="15.75" customHeight="1" s="114">
      <c r="K664" s="67" t="n"/>
    </row>
    <row r="665" ht="15.75" customHeight="1" s="114">
      <c r="K665" s="67" t="n"/>
    </row>
    <row r="666" ht="15.75" customHeight="1" s="114">
      <c r="K666" s="67" t="n"/>
    </row>
    <row r="667" ht="15.75" customHeight="1" s="114">
      <c r="K667" s="67" t="n"/>
    </row>
    <row r="668" ht="15.75" customHeight="1" s="114">
      <c r="K668" s="67" t="n"/>
    </row>
    <row r="669" ht="15.75" customHeight="1" s="114">
      <c r="K669" s="67" t="n"/>
    </row>
    <row r="670" ht="15.75" customHeight="1" s="114">
      <c r="K670" s="67" t="n"/>
    </row>
    <row r="671" ht="15.75" customHeight="1" s="114">
      <c r="K671" s="67" t="n"/>
    </row>
    <row r="672" ht="15.75" customHeight="1" s="114">
      <c r="K672" s="67" t="n"/>
    </row>
    <row r="673" ht="15.75" customHeight="1" s="114">
      <c r="K673" s="67" t="n"/>
    </row>
    <row r="674" ht="15.75" customHeight="1" s="114">
      <c r="K674" s="67" t="n"/>
    </row>
    <row r="675" ht="15.75" customHeight="1" s="114">
      <c r="K675" s="67" t="n"/>
    </row>
    <row r="676" ht="15.75" customHeight="1" s="114">
      <c r="K676" s="67" t="n"/>
    </row>
    <row r="677" ht="15.75" customHeight="1" s="114">
      <c r="K677" s="67" t="n"/>
    </row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dataValidations count="6">
    <dataValidation sqref="B2:B578" showDropDown="0" showInputMessage="0" showErrorMessage="0" allowBlank="1" type="list">
      <formula1>Lists!$F$2:$F$5</formula1>
    </dataValidation>
    <dataValidation sqref="K2:K677" showDropDown="0" showInputMessage="0" showErrorMessage="0" allowBlank="1" type="list">
      <formula1>Lists!$H$2:$H$7</formula1>
    </dataValidation>
    <dataValidation sqref="G2:G28 G30:G578" showDropDown="0" showInputMessage="0" showErrorMessage="0" allowBlank="1" type="list">
      <formula1>Lists!$E$2:$E$5</formula1>
    </dataValidation>
    <dataValidation sqref="C2:C578" showDropDown="0" showInputMessage="0" showErrorMessage="0" allowBlank="1" type="list">
      <formula1>Lists!$A$2:$A$13</formula1>
    </dataValidation>
    <dataValidation sqref="E2:E578" showDropDown="0" showInputMessage="0" showErrorMessage="0" allowBlank="1" type="list">
      <formula1>Lists!$B$2:$B$4</formula1>
    </dataValidation>
    <dataValidation sqref="F2:F28 F29:G29 F30:F578" showDropDown="0" showInputMessage="0" showErrorMessage="0" allowBlank="1" type="list">
      <formula1>Lists!$C$2:$C$18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14" min="1" max="2"/>
    <col width="14" customWidth="1" style="114" min="3" max="4"/>
    <col width="12" customWidth="1" style="114" min="5" max="6"/>
    <col width="16" customWidth="1" style="114" min="7" max="7"/>
    <col width="8.710000000000001" customWidth="1" style="114" min="8" max="26"/>
  </cols>
  <sheetData>
    <row r="1" ht="21.75" customHeight="1" s="114">
      <c r="A1" s="40" t="inlineStr">
        <is>
          <t>Year</t>
        </is>
      </c>
      <c r="B1" s="40" t="inlineStr">
        <is>
          <t>Month</t>
        </is>
      </c>
      <c r="C1" s="40" t="inlineStr">
        <is>
          <t>Income</t>
        </is>
      </c>
      <c r="D1" s="40" t="inlineStr">
        <is>
          <t>Expenses</t>
        </is>
      </c>
      <c r="E1" s="40" t="inlineStr">
        <is>
          <t>Savings</t>
        </is>
      </c>
      <c r="F1" s="40" t="inlineStr">
        <is>
          <t>Net</t>
        </is>
      </c>
      <c r="G1" s="40" t="inlineStr">
        <is>
          <t>Savings Rate %</t>
        </is>
      </c>
    </row>
    <row r="2">
      <c r="A2" s="52" t="n"/>
      <c r="B2" s="52" t="n"/>
      <c r="C2" s="68" t="n"/>
      <c r="D2" s="68" t="n"/>
      <c r="E2" s="68" t="n"/>
      <c r="F2" s="69" t="n"/>
      <c r="G2" s="70" t="n"/>
    </row>
    <row r="3">
      <c r="A3" s="58" t="n"/>
      <c r="B3" s="58" t="n"/>
      <c r="C3" s="71" t="n"/>
      <c r="D3" s="71" t="n"/>
      <c r="E3" s="71" t="n"/>
      <c r="F3" s="72" t="n"/>
      <c r="G3" s="73" t="n"/>
    </row>
    <row r="4">
      <c r="A4" s="52" t="n"/>
      <c r="B4" s="52" t="n"/>
      <c r="C4" s="68" t="n"/>
      <c r="D4" s="68" t="n"/>
      <c r="E4" s="68" t="n"/>
      <c r="F4" s="69" t="n"/>
      <c r="G4" s="70" t="n"/>
    </row>
    <row r="5">
      <c r="A5" s="58" t="n"/>
      <c r="B5" s="58" t="n"/>
      <c r="C5" s="71" t="n"/>
      <c r="D5" s="71" t="n"/>
      <c r="E5" s="71" t="n"/>
      <c r="F5" s="72" t="n"/>
      <c r="G5" s="74" t="n"/>
    </row>
    <row r="6">
      <c r="A6" s="52" t="n"/>
      <c r="B6" s="52" t="n"/>
      <c r="C6" s="68" t="n"/>
      <c r="D6" s="68" t="n"/>
      <c r="E6" s="68" t="n"/>
      <c r="F6" s="69" t="n"/>
      <c r="G6" s="75" t="n"/>
    </row>
    <row r="7">
      <c r="A7" s="58" t="n"/>
      <c r="B7" s="58" t="n"/>
      <c r="C7" s="71" t="n"/>
      <c r="D7" s="71" t="n"/>
      <c r="E7" s="71" t="n"/>
      <c r="F7" s="76" t="n"/>
      <c r="G7" s="73" t="n"/>
    </row>
    <row r="8">
      <c r="A8" s="52" t="n"/>
      <c r="B8" s="52" t="n"/>
      <c r="C8" s="68" t="n"/>
      <c r="D8" s="68" t="n"/>
      <c r="E8" s="68" t="n"/>
      <c r="F8" s="69" t="n"/>
      <c r="G8" s="77" t="n"/>
    </row>
    <row r="9">
      <c r="A9" s="58" t="n"/>
      <c r="B9" s="58" t="n"/>
      <c r="C9" s="71" t="n"/>
      <c r="D9" s="71" t="n"/>
      <c r="E9" s="71" t="n"/>
      <c r="F9" s="72" t="n"/>
      <c r="G9" s="73" t="n"/>
    </row>
    <row r="10">
      <c r="A10" s="52" t="n"/>
      <c r="B10" s="52" t="n"/>
      <c r="C10" s="68" t="n"/>
      <c r="D10" s="68" t="n"/>
      <c r="E10" s="68" t="n"/>
      <c r="F10" s="69" t="n"/>
      <c r="G10" s="70" t="n"/>
    </row>
    <row r="11">
      <c r="A11" s="58" t="n"/>
      <c r="B11" s="58" t="n"/>
      <c r="C11" s="71" t="n"/>
      <c r="D11" s="71" t="n"/>
      <c r="E11" s="71" t="n"/>
      <c r="F11" s="76" t="n"/>
      <c r="G11" s="78" t="n"/>
    </row>
    <row r="12">
      <c r="A12" s="52" t="n"/>
      <c r="B12" s="52" t="n"/>
      <c r="C12" s="68" t="n"/>
      <c r="D12" s="68" t="n"/>
      <c r="E12" s="68" t="n"/>
      <c r="F12" s="79" t="n"/>
      <c r="G12" s="70" t="n"/>
    </row>
    <row r="13">
      <c r="A13" s="58" t="n"/>
      <c r="B13" s="58" t="n"/>
      <c r="C13" s="71" t="n"/>
      <c r="D13" s="71" t="n"/>
      <c r="E13" s="71" t="n"/>
      <c r="F13" s="76" t="n"/>
      <c r="G13" s="74" t="n"/>
    </row>
    <row r="14">
      <c r="A14" s="52" t="n"/>
      <c r="B14" s="52" t="n"/>
      <c r="C14" s="68" t="n"/>
      <c r="D14" s="68" t="n"/>
      <c r="E14" s="68" t="n"/>
      <c r="F14" s="69" t="n"/>
      <c r="G14" s="70" t="n"/>
    </row>
    <row r="15">
      <c r="A15" s="58" t="n"/>
      <c r="B15" s="58" t="n"/>
      <c r="C15" s="71" t="n"/>
      <c r="D15" s="71" t="n"/>
      <c r="E15" s="71" t="n"/>
      <c r="F15" s="76" t="n"/>
      <c r="G15" s="73" t="n"/>
    </row>
    <row r="16">
      <c r="A16" s="52" t="n"/>
      <c r="B16" s="52" t="n"/>
      <c r="C16" s="68" t="n"/>
      <c r="D16" s="68" t="n"/>
      <c r="E16" s="68" t="n"/>
      <c r="F16" s="79" t="n"/>
      <c r="G16" s="75" t="n"/>
    </row>
    <row r="17">
      <c r="A17" s="58" t="n"/>
      <c r="B17" s="58" t="n"/>
      <c r="C17" s="71" t="n"/>
      <c r="D17" s="71" t="n"/>
      <c r="E17" s="71" t="n"/>
      <c r="F17" s="76" t="n"/>
      <c r="G17" s="73" t="n"/>
    </row>
    <row r="18">
      <c r="A18" s="52" t="n"/>
      <c r="B18" s="52" t="n"/>
      <c r="C18" s="68" t="n"/>
      <c r="D18" s="68" t="n"/>
      <c r="E18" s="68" t="n"/>
      <c r="F18" s="69" t="n"/>
      <c r="G18" s="75" t="n"/>
    </row>
    <row r="19">
      <c r="A19" s="58" t="n"/>
      <c r="B19" s="58" t="n"/>
      <c r="C19" s="71" t="n"/>
      <c r="D19" s="71" t="n"/>
      <c r="E19" s="71" t="n"/>
      <c r="F19" s="72" t="n"/>
      <c r="G19" s="74" t="n"/>
    </row>
    <row r="20">
      <c r="A20" s="52" t="n"/>
      <c r="B20" s="52" t="n"/>
      <c r="C20" s="68" t="n"/>
      <c r="D20" s="68" t="n"/>
      <c r="E20" s="68" t="n"/>
      <c r="F20" s="79" t="n"/>
      <c r="G20" s="75" t="n"/>
    </row>
    <row r="21" ht="15.75" customHeight="1" s="114">
      <c r="A21" s="58" t="n"/>
      <c r="B21" s="58" t="n"/>
      <c r="C21" s="71" t="n"/>
      <c r="D21" s="71" t="n"/>
      <c r="E21" s="71" t="n"/>
      <c r="F21" s="72" t="n"/>
      <c r="G21" s="74" t="n"/>
    </row>
    <row r="22" ht="15.75" customHeight="1" s="114">
      <c r="A22" s="52" t="n"/>
      <c r="B22" s="52" t="n"/>
      <c r="C22" s="68" t="n"/>
      <c r="D22" s="68" t="n"/>
      <c r="E22" s="68" t="n"/>
      <c r="F22" s="69" t="n"/>
      <c r="G22" s="70" t="n"/>
    </row>
    <row r="23" ht="15.75" customHeight="1" s="114">
      <c r="A23" s="58" t="n"/>
      <c r="B23" s="58" t="n"/>
      <c r="C23" s="71" t="n"/>
      <c r="D23" s="71" t="n"/>
      <c r="E23" s="71" t="n"/>
      <c r="F23" s="76" t="n"/>
      <c r="G23" s="73" t="n"/>
    </row>
    <row r="24" ht="15.75" customHeight="1" s="114">
      <c r="A24" s="52" t="n"/>
      <c r="B24" s="52" t="n"/>
      <c r="C24" s="68" t="n"/>
      <c r="D24" s="68" t="n"/>
      <c r="E24" s="68" t="n"/>
      <c r="F24" s="79" t="n"/>
      <c r="G24" s="70" t="n"/>
    </row>
    <row r="25" ht="15.75" customHeight="1" s="114">
      <c r="A25" s="80" t="n"/>
      <c r="B25" s="80" t="n"/>
      <c r="C25" s="81" t="n"/>
      <c r="D25" s="81" t="n"/>
      <c r="E25" s="81" t="n"/>
      <c r="F25" s="81" t="n"/>
      <c r="G25" s="82" t="n"/>
    </row>
    <row r="26" ht="15.75" customHeight="1" s="114"/>
    <row r="27" ht="15.75" customHeight="1" s="114"/>
    <row r="28" ht="15.75" customHeight="1" s="114"/>
    <row r="29" ht="15.75" customHeight="1" s="114"/>
    <row r="30" ht="15.75" customHeight="1" s="114"/>
    <row r="31" ht="15.75" customHeight="1" s="114"/>
    <row r="32" ht="15.75" customHeight="1" s="114"/>
    <row r="33" ht="15.75" customHeight="1" s="114"/>
    <row r="34" ht="15.75" customHeight="1" s="114"/>
    <row r="35" ht="15.75" customHeight="1" s="114"/>
    <row r="36" ht="15.75" customHeight="1" s="114"/>
    <row r="37" ht="15.75" customHeight="1" s="114"/>
    <row r="38" ht="15.75" customHeight="1" s="114"/>
    <row r="39" ht="15.75" customHeight="1" s="114"/>
    <row r="40" ht="15.75" customHeight="1" s="114"/>
    <row r="41" ht="15.75" customHeight="1" s="114"/>
    <row r="42" ht="15.75" customHeight="1" s="114"/>
    <row r="43" ht="15.75" customHeight="1" s="114"/>
    <row r="44" ht="15.75" customHeight="1" s="114"/>
    <row r="45" ht="15.75" customHeight="1" s="114"/>
    <row r="46" ht="15.75" customHeight="1" s="114"/>
    <row r="47" ht="15.75" customHeight="1" s="114"/>
    <row r="48" ht="15.75" customHeight="1" s="114"/>
    <row r="49" ht="15.75" customHeight="1" s="114"/>
    <row r="50" ht="15.75" customHeight="1" s="114"/>
    <row r="51" ht="15.75" customHeight="1" s="114"/>
    <row r="52" ht="15.75" customHeight="1" s="114"/>
    <row r="53" ht="15.75" customHeight="1" s="114"/>
    <row r="54" ht="15.75" customHeight="1" s="114"/>
    <row r="55" ht="15.75" customHeight="1" s="114"/>
    <row r="56" ht="15.75" customHeight="1" s="114"/>
    <row r="57" ht="15.75" customHeight="1" s="114"/>
    <row r="58" ht="15.75" customHeight="1" s="114"/>
    <row r="59" ht="15.75" customHeight="1" s="114"/>
    <row r="60" ht="15.75" customHeight="1" s="114"/>
    <row r="61" ht="15.75" customHeight="1" s="114"/>
    <row r="62" ht="15.75" customHeight="1" s="114"/>
    <row r="63" ht="15.75" customHeight="1" s="114"/>
    <row r="64" ht="15.75" customHeight="1" s="114"/>
    <row r="65" ht="15.75" customHeight="1" s="114"/>
    <row r="66" ht="15.75" customHeight="1" s="114"/>
    <row r="67" ht="15.75" customHeight="1" s="114"/>
    <row r="68" ht="15.75" customHeight="1" s="114"/>
    <row r="69" ht="15.75" customHeight="1" s="114"/>
    <row r="70" ht="15.75" customHeight="1" s="114"/>
    <row r="71" ht="15.75" customHeight="1" s="114"/>
    <row r="72" ht="15.75" customHeight="1" s="114"/>
    <row r="73" ht="15.75" customHeight="1" s="114"/>
    <row r="74" ht="15.75" customHeight="1" s="114"/>
    <row r="75" ht="15.75" customHeight="1" s="114"/>
    <row r="76" ht="15.75" customHeight="1" s="114"/>
    <row r="77" ht="15.75" customHeight="1" s="114"/>
    <row r="78" ht="15.75" customHeight="1" s="114"/>
    <row r="79" ht="15.75" customHeight="1" s="114"/>
    <row r="80" ht="15.75" customHeight="1" s="114"/>
    <row r="81" ht="15.75" customHeight="1" s="114"/>
    <row r="82" ht="15.75" customHeight="1" s="114"/>
    <row r="83" ht="15.75" customHeight="1" s="114"/>
    <row r="84" ht="15.75" customHeight="1" s="114"/>
    <row r="85" ht="15.75" customHeight="1" s="114"/>
    <row r="86" ht="15.75" customHeight="1" s="114"/>
    <row r="87" ht="15.75" customHeight="1" s="114"/>
    <row r="88" ht="15.75" customHeight="1" s="114"/>
    <row r="89" ht="15.75" customHeight="1" s="114"/>
    <row r="90" ht="15.75" customHeight="1" s="114"/>
    <row r="91" ht="15.75" customHeight="1" s="114"/>
    <row r="92" ht="15.75" customHeight="1" s="114"/>
    <row r="93" ht="15.75" customHeight="1" s="114"/>
    <row r="94" ht="15.75" customHeight="1" s="114"/>
    <row r="95" ht="15.75" customHeight="1" s="114"/>
    <row r="96" ht="15.75" customHeight="1" s="114"/>
    <row r="97" ht="15.75" customHeight="1" s="114"/>
    <row r="98" ht="15.75" customHeight="1" s="114"/>
    <row r="99" ht="15.75" customHeight="1" s="114"/>
    <row r="100" ht="15.75" customHeight="1" s="114"/>
    <row r="101" ht="15.75" customHeight="1" s="114"/>
    <row r="102" ht="15.75" customHeight="1" s="114"/>
    <row r="103" ht="15.75" customHeight="1" s="114"/>
    <row r="104" ht="15.75" customHeight="1" s="114"/>
    <row r="105" ht="15.75" customHeight="1" s="114"/>
    <row r="106" ht="15.75" customHeight="1" s="114"/>
    <row r="107" ht="15.75" customHeight="1" s="114"/>
    <row r="108" ht="15.75" customHeight="1" s="114"/>
    <row r="109" ht="15.75" customHeight="1" s="114"/>
    <row r="110" ht="15.75" customHeight="1" s="114"/>
    <row r="111" ht="15.75" customHeight="1" s="114"/>
    <row r="112" ht="15.75" customHeight="1" s="114"/>
    <row r="113" ht="15.75" customHeight="1" s="114"/>
    <row r="114" ht="15.75" customHeight="1" s="114"/>
    <row r="115" ht="15.75" customHeight="1" s="114"/>
    <row r="116" ht="15.75" customHeight="1" s="114"/>
    <row r="117" ht="15.75" customHeight="1" s="114"/>
    <row r="118" ht="15.75" customHeight="1" s="114"/>
    <row r="119" ht="15.75" customHeight="1" s="114"/>
    <row r="120" ht="15.75" customHeight="1" s="114"/>
    <row r="121" ht="15.75" customHeight="1" s="114"/>
    <row r="122" ht="15.75" customHeight="1" s="114"/>
    <row r="123" ht="15.75" customHeight="1" s="114"/>
    <row r="124" ht="15.75" customHeight="1" s="114"/>
    <row r="125" ht="15.75" customHeight="1" s="114"/>
    <row r="126" ht="15.75" customHeight="1" s="114"/>
    <row r="127" ht="15.75" customHeight="1" s="114"/>
    <row r="128" ht="15.75" customHeight="1" s="114"/>
    <row r="129" ht="15.75" customHeight="1" s="114"/>
    <row r="130" ht="15.75" customHeight="1" s="114"/>
    <row r="131" ht="15.75" customHeight="1" s="114"/>
    <row r="132" ht="15.75" customHeight="1" s="114"/>
    <row r="133" ht="15.75" customHeight="1" s="114"/>
    <row r="134" ht="15.75" customHeight="1" s="114"/>
    <row r="135" ht="15.75" customHeight="1" s="114"/>
    <row r="136" ht="15.75" customHeight="1" s="114"/>
    <row r="137" ht="15.75" customHeight="1" s="114"/>
    <row r="138" ht="15.75" customHeight="1" s="114"/>
    <row r="139" ht="15.75" customHeight="1" s="114"/>
    <row r="140" ht="15.75" customHeight="1" s="114"/>
    <row r="141" ht="15.75" customHeight="1" s="114"/>
    <row r="142" ht="15.75" customHeight="1" s="114"/>
    <row r="143" ht="15.75" customHeight="1" s="114"/>
    <row r="144" ht="15.75" customHeight="1" s="114"/>
    <row r="145" ht="15.75" customHeight="1" s="114"/>
    <row r="146" ht="15.75" customHeight="1" s="114"/>
    <row r="147" ht="15.75" customHeight="1" s="114"/>
    <row r="148" ht="15.75" customHeight="1" s="114"/>
    <row r="149" ht="15.75" customHeight="1" s="114"/>
    <row r="150" ht="15.75" customHeight="1" s="114"/>
    <row r="151" ht="15.75" customHeight="1" s="114"/>
    <row r="152" ht="15.75" customHeight="1" s="114"/>
    <row r="153" ht="15.75" customHeight="1" s="114"/>
    <row r="154" ht="15.75" customHeight="1" s="114"/>
    <row r="155" ht="15.75" customHeight="1" s="114"/>
    <row r="156" ht="15.75" customHeight="1" s="114"/>
    <row r="157" ht="15.75" customHeight="1" s="114"/>
    <row r="158" ht="15.75" customHeight="1" s="114"/>
    <row r="159" ht="15.75" customHeight="1" s="114"/>
    <row r="160" ht="15.75" customHeight="1" s="114"/>
    <row r="161" ht="15.75" customHeight="1" s="114"/>
    <row r="162" ht="15.75" customHeight="1" s="114"/>
    <row r="163" ht="15.75" customHeight="1" s="114"/>
    <row r="164" ht="15.75" customHeight="1" s="114"/>
    <row r="165" ht="15.75" customHeight="1" s="114"/>
    <row r="166" ht="15.75" customHeight="1" s="114"/>
    <row r="167" ht="15.75" customHeight="1" s="114"/>
    <row r="168" ht="15.75" customHeight="1" s="114"/>
    <row r="169" ht="15.75" customHeight="1" s="114"/>
    <row r="170" ht="15.75" customHeight="1" s="114"/>
    <row r="171" ht="15.75" customHeight="1" s="114"/>
    <row r="172" ht="15.75" customHeight="1" s="114"/>
    <row r="173" ht="15.75" customHeight="1" s="114"/>
    <row r="174" ht="15.75" customHeight="1" s="114"/>
    <row r="175" ht="15.75" customHeight="1" s="114"/>
    <row r="176" ht="15.75" customHeight="1" s="114"/>
    <row r="177" ht="15.75" customHeight="1" s="114"/>
    <row r="178" ht="15.75" customHeight="1" s="114"/>
    <row r="179" ht="15.75" customHeight="1" s="114"/>
    <row r="180" ht="15.75" customHeight="1" s="114"/>
    <row r="181" ht="15.75" customHeight="1" s="114"/>
    <row r="182" ht="15.75" customHeight="1" s="114"/>
    <row r="183" ht="15.75" customHeight="1" s="114"/>
    <row r="184" ht="15.75" customHeight="1" s="114"/>
    <row r="185" ht="15.75" customHeight="1" s="114"/>
    <row r="186" ht="15.75" customHeight="1" s="114"/>
    <row r="187" ht="15.75" customHeight="1" s="114"/>
    <row r="188" ht="15.75" customHeight="1" s="114"/>
    <row r="189" ht="15.75" customHeight="1" s="114"/>
    <row r="190" ht="15.75" customHeight="1" s="114"/>
    <row r="191" ht="15.75" customHeight="1" s="114"/>
    <row r="192" ht="15.75" customHeight="1" s="114"/>
    <row r="193" ht="15.75" customHeight="1" s="114"/>
    <row r="194" ht="15.75" customHeight="1" s="114"/>
    <row r="195" ht="15.75" customHeight="1" s="114"/>
    <row r="196" ht="15.75" customHeight="1" s="114"/>
    <row r="197" ht="15.75" customHeight="1" s="114"/>
    <row r="198" ht="15.75" customHeight="1" s="114"/>
    <row r="199" ht="15.75" customHeight="1" s="114"/>
    <row r="200" ht="15.75" customHeight="1" s="114"/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114" min="1" max="1"/>
    <col width="10" customWidth="1" style="114" min="2" max="6"/>
    <col width="14" customWidth="1" style="114" min="3" max="3"/>
    <col width="14" customWidth="1" style="114" min="4" max="4"/>
    <col width="14" customWidth="1" style="114" min="5" max="5"/>
    <col width="12" customWidth="1" style="114" min="6" max="6"/>
    <col width="4" customWidth="1" style="114" min="7" max="7"/>
    <col width="22" customWidth="1" style="114" min="8" max="8"/>
    <col width="14" customWidth="1" style="114" min="9" max="12"/>
    <col width="8.710000000000001" customWidth="1" style="114" min="13" max="13"/>
    <col width="0.43" customWidth="1" style="114" min="14" max="14"/>
    <col width="8.710000000000001" customWidth="1" style="114" min="15" max="26"/>
  </cols>
  <sheetData>
    <row r="1">
      <c r="A1" s="126" t="inlineStr">
        <is>
          <t>⚙ Filter</t>
        </is>
      </c>
    </row>
    <row r="2">
      <c r="A2" s="84" t="inlineStr">
        <is>
          <t>Year</t>
        </is>
      </c>
      <c r="B2" s="85" t="n">
        <v>2026</v>
      </c>
      <c r="C2" s="84" t="inlineStr">
        <is>
          <t>Month</t>
        </is>
      </c>
      <c r="D2" s="86" t="inlineStr"/>
      <c r="E2" s="87" t="inlineStr">
        <is>
          <t>Display</t>
        </is>
      </c>
      <c r="F2" s="88" t="inlineStr">
        <is>
          <t>PLN</t>
        </is>
      </c>
      <c r="N2" s="89">
        <f>IFERROR(VLOOKUP($F$2,Lists!$H$2:$I$1048576,2,0),1)</f>
        <v/>
      </c>
    </row>
    <row r="3"/>
    <row r="4" ht="19.5" customHeight="1" s="114">
      <c r="A4" s="90" t="inlineStr">
        <is>
          <t>📊 All-Time Totals</t>
        </is>
      </c>
      <c r="B4" s="91" t="n"/>
      <c r="C4" s="91" t="n"/>
      <c r="D4" s="91" t="n"/>
      <c r="E4" s="91" t="n"/>
      <c r="F4" s="91" t="n"/>
    </row>
    <row r="5">
      <c r="B5" s="92" t="inlineStr">
        <is>
          <t>Income</t>
        </is>
      </c>
      <c r="C5" s="92" t="inlineStr">
        <is>
          <t>Expenses</t>
        </is>
      </c>
      <c r="D5" s="92" t="inlineStr">
        <is>
          <t>Savings</t>
        </is>
      </c>
      <c r="E5" s="92" t="inlineStr">
        <is>
          <t>Net Worth</t>
        </is>
      </c>
    </row>
    <row r="6" ht="30" customHeight="1" s="114">
      <c r="B6" s="93">
        <f>(SUMIFS(MasterData!$L$2:$L$1048576,MasterData!$E$2:$E$1048576,"Income",MasterData!$J$2:$J$1048576,TRUE))/($N$2)</f>
        <v/>
      </c>
      <c r="C6" s="93">
        <f>(SUMIFS(MasterData!$L$2:$L$1048576,MasterData!$E$2:$E$1048576,"Expense",MasterData!$J$2:$J$1048576,TRUE))/($N$2)</f>
        <v/>
      </c>
      <c r="D6" s="93">
        <f>(SUMIFS(MasterData!$L$2:$L$1048576,MasterData!$E$2:$E$1048576,"Savings",MasterData!$J$2:$J$1048576,TRUE))/($N$2)</f>
        <v/>
      </c>
      <c r="E6" s="93">
        <f>B6-C6</f>
        <v/>
      </c>
    </row>
    <row r="7">
      <c r="B7" s="94">
        <f>$F$2</f>
        <v/>
      </c>
      <c r="C7" s="94">
        <f>$F$2</f>
        <v/>
      </c>
      <c r="D7" s="94">
        <f>$F$2</f>
        <v/>
      </c>
      <c r="E7" s="94">
        <f>$F$2</f>
        <v/>
      </c>
    </row>
    <row r="8"/>
    <row r="9" ht="19.5" customHeight="1" s="114">
      <c r="A9" s="90" t="inlineStr">
        <is>
          <t>📅 Selected Period</t>
        </is>
      </c>
      <c r="B9" s="91" t="n"/>
      <c r="C9" s="91" t="n"/>
      <c r="D9" s="91" t="n"/>
      <c r="E9" s="91" t="n"/>
      <c r="F9" s="91" t="n"/>
      <c r="H9" s="90" t="inlineStr">
        <is>
          <t>🏷 Expenses by Category</t>
        </is>
      </c>
      <c r="I9" s="91" t="n"/>
      <c r="J9" s="91" t="n"/>
      <c r="K9" s="91" t="n"/>
      <c r="L9" s="91" t="n"/>
    </row>
    <row r="10" ht="18" customHeight="1" s="114">
      <c r="A10" s="41" t="inlineStr">
        <is>
          <t>Income</t>
        </is>
      </c>
      <c r="B10" s="95">
        <f>(IF($D$2="",SUMIFS(MasterData!$L$2:$L$1048576,MasterData!$E$2:$E$1048576,"Income",MasterData!$B$2:$B$1048576,$B$2,MasterData!$J$2:$J$1048576,TRUE),SUMIFS(MasterData!$L$2:$L$1048576,MasterData!$E$2:$E$1048576,"Income",MasterData!$B$2:$B$1048576,$B$2,MasterData!$C$2:$C$1048576,$D$2,MasterData!$J$2:$J$1048576,TRUE)))/($N$2)</f>
        <v/>
      </c>
      <c r="H10" s="96" t="inlineStr">
        <is>
          <t>Category</t>
        </is>
      </c>
      <c r="I10" s="96" t="inlineStr">
        <is>
          <t>Budget</t>
        </is>
      </c>
      <c r="J10" s="96" t="inlineStr">
        <is>
          <t>Actual</t>
        </is>
      </c>
      <c r="K10" s="96" t="inlineStr">
        <is>
          <t>Variance</t>
        </is>
      </c>
      <c r="L10" s="96" t="inlineStr">
        <is>
          <t>Var %</t>
        </is>
      </c>
    </row>
    <row r="11" ht="18" customHeight="1" s="114">
      <c r="A11" s="41" t="inlineStr">
        <is>
          <t>Expenses</t>
        </is>
      </c>
      <c r="B11" s="95">
        <f>(IF($D$2="",SUMIFS(MasterData!$L$2:$L$1048576,MasterData!$E$2:$E$1048576,"Expense",MasterData!$B$2:$B$1048576,$B$2,MasterData!$J$2:$J$1048576,TRUE),SUMIFS(MasterData!$L$2:$L$1048576,MasterData!$E$2:$E$1048576,"Expense",MasterData!$B$2:$B$1048576,$B$2,MasterData!$C$2:$C$1048576,$D$2,MasterData!$J$2:$J$1048576,TRUE)))/($N$2)</f>
        <v/>
      </c>
      <c r="H11" s="97" t="inlineStr">
        <is>
          <t>Groceries</t>
        </is>
      </c>
      <c r="I11" s="98">
        <f>IFERROR(VLOOKUP(H11,Lists!$C$2:$D$1048576,2,0),0)/$N$2</f>
        <v/>
      </c>
      <c r="J11" s="71">
        <f>(IF($D$2="",SUMIFS(MasterData!$L$2:$L$1048576,MasterData!$F$2:$F$1048576,H11,MasterData!$B$2:$B$1048576,$B$2,MasterData!$J$2:$J$1048576,TRUE),SUMIFS(MasterData!$L$2:$L$1048576,MasterData!$F$2:$F$1048576,H11,MasterData!$B$2:$B$1048576,$B$2,MasterData!$C$2:$C$1048576,$D$2,MasterData!$J$2:$J$1048576,TRUE)))/($N$2)</f>
        <v/>
      </c>
      <c r="K11" s="99">
        <f>I11-J11</f>
        <v/>
      </c>
      <c r="L11" s="100">
        <f>IF(I11=0,"",K11/I11)</f>
        <v/>
      </c>
    </row>
    <row r="12" ht="18" customHeight="1" s="114">
      <c r="A12" s="41" t="inlineStr">
        <is>
          <t>Savings</t>
        </is>
      </c>
      <c r="B12" s="95">
        <f>(IF($D$2="",SUMIFS(MasterData!$L$2:$L$1048576,MasterData!$E$2:$E$1048576,"Savings",MasterData!$B$2:$B$1048576,$B$2,MasterData!$J$2:$J$1048576,TRUE),SUMIFS(MasterData!$L$2:$L$1048576,MasterData!$E$2:$E$1048576,"Savings",MasterData!$B$2:$B$1048576,$B$2,MasterData!$C$2:$C$1048576,$D$2,MasterData!$J$2:$J$1048576,TRUE)))/($N$2)</f>
        <v/>
      </c>
      <c r="H12" s="101" t="inlineStr">
        <is>
          <t>Housing</t>
        </is>
      </c>
      <c r="I12" s="102">
        <f>IFERROR(VLOOKUP(H12,Lists!$C$2:$D$1048576,2,0),0)/$N$2</f>
        <v/>
      </c>
      <c r="J12" s="68">
        <f>(IF($D$2="",SUMIFS(MasterData!$L$2:$L$1048576,MasterData!$F$2:$F$1048576,H12,MasterData!$B$2:$B$1048576,$B$2,MasterData!$J$2:$J$1048576,TRUE),SUMIFS(MasterData!$L$2:$L$1048576,MasterData!$F$2:$F$1048576,H12,MasterData!$B$2:$B$1048576,$B$2,MasterData!$C$2:$C$1048576,$D$2,MasterData!$J$2:$J$1048576,TRUE)))/($N$2)</f>
        <v/>
      </c>
      <c r="K12" s="103">
        <f>I12-J12</f>
        <v/>
      </c>
      <c r="L12" s="104">
        <f>IF(I12=0,"",K12/I12)</f>
        <v/>
      </c>
    </row>
    <row r="13" ht="18" customHeight="1" s="114">
      <c r="A13" s="41" t="inlineStr">
        <is>
          <t>Net (Income−Exp−Sav)</t>
        </is>
      </c>
      <c r="B13" s="95">
        <f>B10-B11-B12</f>
        <v/>
      </c>
      <c r="H13" s="97" t="inlineStr">
        <is>
          <t>Transport</t>
        </is>
      </c>
      <c r="I13" s="98">
        <f>IFERROR(VLOOKUP(H13,Lists!$C$2:$D$1048576,2,0),0)/$N$2</f>
        <v/>
      </c>
      <c r="J13" s="71">
        <f>(IF($D$2="",SUMIFS(MasterData!$L$2:$L$1048576,MasterData!$F$2:$F$1048576,H13,MasterData!$B$2:$B$1048576,$B$2,MasterData!$J$2:$J$1048576,TRUE),SUMIFS(MasterData!$L$2:$L$1048576,MasterData!$F$2:$F$1048576,H13,MasterData!$B$2:$B$1048576,$B$2,MasterData!$C$2:$C$1048576,$D$2,MasterData!$J$2:$J$1048576,TRUE)))/($N$2)</f>
        <v/>
      </c>
      <c r="K13" s="99">
        <f>I13-J13</f>
        <v/>
      </c>
      <c r="L13" s="100">
        <f>IF(I13=0,"",K13/I13)</f>
        <v/>
      </c>
    </row>
    <row r="14" ht="18" customHeight="1" s="114">
      <c r="A14" s="41" t="inlineStr">
        <is>
          <t>Savings Rate %</t>
        </is>
      </c>
      <c r="B14" s="105">
        <f>IF(B10=0,0,B12/B10)</f>
        <v/>
      </c>
      <c r="H14" s="101" t="inlineStr">
        <is>
          <t>Utilities</t>
        </is>
      </c>
      <c r="I14" s="102">
        <f>IFERROR(VLOOKUP(H14,Lists!$C$2:$D$1048576,2,0),0)/$N$2</f>
        <v/>
      </c>
      <c r="J14" s="68">
        <f>(IF($D$2="",SUMIFS(MasterData!$L$2:$L$1048576,MasterData!$F$2:$F$1048576,H14,MasterData!$B$2:$B$1048576,$B$2,MasterData!$J$2:$J$1048576,TRUE),SUMIFS(MasterData!$L$2:$L$1048576,MasterData!$F$2:$F$1048576,H14,MasterData!$B$2:$B$1048576,$B$2,MasterData!$C$2:$C$1048576,$D$2,MasterData!$J$2:$J$1048576,TRUE)))/($N$2)</f>
        <v/>
      </c>
      <c r="K14" s="103">
        <f>I14-J14</f>
        <v/>
      </c>
      <c r="L14" s="104">
        <f>IF(I14=0,"",K14/I14)</f>
        <v/>
      </c>
    </row>
    <row r="15">
      <c r="A15" s="106" t="inlineStr">
        <is>
          <t>⚠ Check</t>
        </is>
      </c>
      <c r="B15" s="107">
        <f>IF(ROUND(B13,0)=0,"✓ Balanced",IF(ROUND(B13,0)&gt;0,"Unlogged: "&amp;ROUND(B13,0)&amp;" "&amp;$F$2,"Overreported: "&amp;ABS(ROUND(B13,0))&amp;" "&amp;$F$2))</f>
        <v/>
      </c>
      <c r="H15" s="97" t="inlineStr">
        <is>
          <t>Healthcare</t>
        </is>
      </c>
      <c r="I15" s="98">
        <f>IFERROR(VLOOKUP(H15,Lists!$C$2:$D$1048576,2,0),0)/$N$2</f>
        <v/>
      </c>
      <c r="J15" s="71">
        <f>(IF($D$2="",SUMIFS(MasterData!$L$2:$L$1048576,MasterData!$F$2:$F$1048576,H15,MasterData!$B$2:$B$1048576,$B$2,MasterData!$J$2:$J$1048576,TRUE),SUMIFS(MasterData!$L$2:$L$1048576,MasterData!$F$2:$F$1048576,H15,MasterData!$B$2:$B$1048576,$B$2,MasterData!$C$2:$C$1048576,$D$2,MasterData!$J$2:$J$1048576,TRUE)))/($N$2)</f>
        <v/>
      </c>
      <c r="K15" s="99">
        <f>I15-J15</f>
        <v/>
      </c>
      <c r="L15" s="100">
        <f>IF(I15=0,"",K15/I15)</f>
        <v/>
      </c>
    </row>
    <row r="16">
      <c r="H16" s="101" t="inlineStr">
        <is>
          <t>Entertainment</t>
        </is>
      </c>
      <c r="I16" s="102">
        <f>IFERROR(VLOOKUP(H16,Lists!$C$2:$D$1048576,2,0),0)/$N$2</f>
        <v/>
      </c>
      <c r="J16" s="68">
        <f>(IF($D$2="",SUMIFS(MasterData!$L$2:$L$1048576,MasterData!$F$2:$F$1048576,H16,MasterData!$B$2:$B$1048576,$B$2,MasterData!$J$2:$J$1048576,TRUE),SUMIFS(MasterData!$L$2:$L$1048576,MasterData!$F$2:$F$1048576,H16,MasterData!$B$2:$B$1048576,$B$2,MasterData!$C$2:$C$1048576,$D$2,MasterData!$J$2:$J$1048576,TRUE)))/($N$2)</f>
        <v/>
      </c>
      <c r="K16" s="103">
        <f>I16-J16</f>
        <v/>
      </c>
      <c r="L16" s="104">
        <f>IF(I16=0,"",K16/I16)</f>
        <v/>
      </c>
    </row>
    <row r="17">
      <c r="H17" s="97" t="inlineStr">
        <is>
          <t>Travel</t>
        </is>
      </c>
      <c r="I17" s="98">
        <f>IFERROR(VLOOKUP(H17,Lists!$C$2:$D$1048576,2,0),0)/$N$2</f>
        <v/>
      </c>
      <c r="J17" s="71">
        <f>(IF($D$2="",SUMIFS(MasterData!$L$2:$L$1048576,MasterData!$F$2:$F$1048576,H17,MasterData!$B$2:$B$1048576,$B$2,MasterData!$J$2:$J$1048576,TRUE),SUMIFS(MasterData!$L$2:$L$1048576,MasterData!$F$2:$F$1048576,H17,MasterData!$B$2:$B$1048576,$B$2,MasterData!$C$2:$C$1048576,$D$2,MasterData!$J$2:$J$1048576,TRUE)))/($N$2)</f>
        <v/>
      </c>
      <c r="K17" s="99">
        <f>I17-J17</f>
        <v/>
      </c>
      <c r="L17" s="100">
        <f>IF(I17=0,"",K17/I17)</f>
        <v/>
      </c>
    </row>
    <row r="18">
      <c r="H18" s="101" t="inlineStr">
        <is>
          <t>Children</t>
        </is>
      </c>
      <c r="I18" s="102">
        <f>IFERROR(VLOOKUP(H18,Lists!$C$2:$D$1048576,2,0),0)/$N$2</f>
        <v/>
      </c>
      <c r="J18" s="68">
        <f>(IF($D$2="",SUMIFS(MasterData!$L$2:$L$1048576,MasterData!$F$2:$F$1048576,H18,MasterData!$B$2:$B$1048576,$B$2,MasterData!$J$2:$J$1048576,TRUE),SUMIFS(MasterData!$L$2:$L$1048576,MasterData!$F$2:$F$1048576,H18,MasterData!$B$2:$B$1048576,$B$2,MasterData!$C$2:$C$1048576,$D$2,MasterData!$J$2:$J$1048576,TRUE)))/($N$2)</f>
        <v/>
      </c>
      <c r="K18" s="103">
        <f>I18-J18</f>
        <v/>
      </c>
      <c r="L18" s="104">
        <f>IF(I18=0,"",K18/I18)</f>
        <v/>
      </c>
    </row>
    <row r="19" ht="24" customHeight="1" s="114">
      <c r="A19" s="127" t="inlineStr">
        <is>
          <t>🎯  Savings Goals</t>
        </is>
      </c>
      <c r="G19" s="129" t="n"/>
      <c r="H19" s="97" t="inlineStr">
        <is>
          <t>Personal</t>
        </is>
      </c>
      <c r="I19" s="98">
        <f>IFERROR(VLOOKUP(H19,Lists!$C$2:$D$1048576,2,0),0)/$N$2</f>
        <v/>
      </c>
      <c r="J19" s="71">
        <f>(IF($D$2="",SUMIFS(MasterData!$L$2:$L$1048576,MasterData!$F$2:$F$1048576,H19,MasterData!$B$2:$B$1048576,$B$2,MasterData!$J$2:$J$1048576,TRUE),SUMIFS(MasterData!$L$2:$L$1048576,MasterData!$F$2:$F$1048576,H19,MasterData!$B$2:$B$1048576,$B$2,MasterData!$C$2:$C$1048576,$D$2,MasterData!$J$2:$J$1048576,TRUE)))/($N$2)</f>
        <v/>
      </c>
      <c r="K19" s="99">
        <f>I19-J19</f>
        <v/>
      </c>
      <c r="L19" s="100">
        <f>IF(I19=0,"",K19/I19)</f>
        <v/>
      </c>
    </row>
    <row r="20" ht="20" customHeight="1" s="114">
      <c r="A20" s="130" t="inlineStr">
        <is>
          <t>Goal</t>
        </is>
      </c>
      <c r="B20" s="130" t="inlineStr">
        <is>
          <t>Alloc %</t>
        </is>
      </c>
      <c r="C20" s="130" t="inlineStr">
        <is>
          <t>Allocated</t>
        </is>
      </c>
      <c r="D20" s="130" t="inlineStr">
        <is>
          <t>Target (PLN)</t>
        </is>
      </c>
      <c r="E20" s="130" t="inlineStr">
        <is>
          <t>Still Needed</t>
        </is>
      </c>
      <c r="F20" s="130" t="inlineStr">
        <is>
          <t>Progress</t>
        </is>
      </c>
      <c r="G20" s="129" t="n"/>
      <c r="H20" s="101" t="inlineStr">
        <is>
          <t>Shopping</t>
        </is>
      </c>
      <c r="I20" s="102">
        <f>IFERROR(VLOOKUP(H20,Lists!$C$2:$D$1048576,2,0),0)/$N$2</f>
        <v/>
      </c>
      <c r="J20" s="68">
        <f>(IF($D$2="",SUMIFS(MasterData!$L$2:$L$1048576,MasterData!$F$2:$F$1048576,H20,MasterData!$B$2:$B$1048576,$B$2,MasterData!$J$2:$J$1048576,TRUE),SUMIFS(MasterData!$L$2:$L$1048576,MasterData!$F$2:$F$1048576,H20,MasterData!$B$2:$B$1048576,$B$2,MasterData!$C$2:$C$1048576,$D$2,MasterData!$J$2:$J$1048576,TRUE)))/($N$2)</f>
        <v/>
      </c>
      <c r="K20" s="103">
        <f>I20-J20</f>
        <v/>
      </c>
      <c r="L20" s="104">
        <f>IF(I20=0,"",K20/I20)</f>
        <v/>
      </c>
    </row>
    <row r="21" ht="18" customHeight="1" s="114">
      <c r="A21" s="131">
        <f>IF(Lists!$M2="","",Lists!$M2)</f>
        <v/>
      </c>
      <c r="B21" s="132">
        <f>IF(Lists!$M2="","",Lists!$N2)</f>
        <v/>
      </c>
      <c r="C21" s="133">
        <f>IF(Lists!$M2="","",IFERROR(MIN(Lists!$O2/$N$2, $D$6*Lists!$N2),0))</f>
        <v/>
      </c>
      <c r="D21" s="133">
        <f>IF(Lists!$M2="","",IFERROR(Lists!$O2/$N$2,0))</f>
        <v/>
      </c>
      <c r="E21" s="133">
        <f>IF(Lists!$M2="","",IFERROR(MAX(0,Lists!$O2/$N$2-MIN(Lists!$O2/$N$2,$D$6*Lists!$N2)),0))</f>
        <v/>
      </c>
      <c r="F21" s="132">
        <f>IF(OR(Lists!$M2="",Lists!$O2=0),"",IFERROR(MIN(1,MIN(Lists!$O2/$N$2,$D$6*Lists!$N2)/(Lists!$O2/$N$2)),0))</f>
        <v/>
      </c>
      <c r="G21" s="129" t="n"/>
      <c r="H21" s="97" t="inlineStr">
        <is>
          <t>Insurance</t>
        </is>
      </c>
      <c r="I21" s="98">
        <f>IFERROR(VLOOKUP(H21,Lists!$C$2:$D$1048576,2,0),0)/$N$2</f>
        <v/>
      </c>
      <c r="J21" s="71">
        <f>(IF($D$2="",SUMIFS(MasterData!$L$2:$L$1048576,MasterData!$F$2:$F$1048576,H21,MasterData!$B$2:$B$1048576,$B$2,MasterData!$J$2:$J$1048576,TRUE),SUMIFS(MasterData!$L$2:$L$1048576,MasterData!$F$2:$F$1048576,H21,MasterData!$B$2:$B$1048576,$B$2,MasterData!$C$2:$C$1048576,$D$2,MasterData!$J$2:$J$1048576,TRUE)))/($N$2)</f>
        <v/>
      </c>
      <c r="K21" s="99">
        <f>I21-J21</f>
        <v/>
      </c>
      <c r="L21" s="100">
        <f>IF(I21=0,"",K21/I21)</f>
        <v/>
      </c>
    </row>
    <row r="22" ht="18" customHeight="1" s="114">
      <c r="A22" s="134">
        <f>IF(Lists!$M3="","",Lists!$M3)</f>
        <v/>
      </c>
      <c r="B22" s="135">
        <f>IF(Lists!$M3="","",Lists!$N3)</f>
        <v/>
      </c>
      <c r="C22" s="136">
        <f>IF(Lists!$M3="","",IFERROR(MIN(Lists!$O3/$N$2, $D$6*Lists!$N3),0))</f>
        <v/>
      </c>
      <c r="D22" s="136">
        <f>IF(Lists!$M3="","",IFERROR(Lists!$O3/$N$2,0))</f>
        <v/>
      </c>
      <c r="E22" s="136">
        <f>IF(Lists!$M3="","",IFERROR(MAX(0,Lists!$O3/$N$2-MIN(Lists!$O3/$N$2,$D$6*Lists!$N3)),0))</f>
        <v/>
      </c>
      <c r="F22" s="135">
        <f>IF(OR(Lists!$M3="",Lists!$O3=0),"",IFERROR(MIN(1,MIN(Lists!$O3/$N$2,$D$6*Lists!$N3)/(Lists!$O3/$N$2)),0))</f>
        <v/>
      </c>
      <c r="G22" s="129" t="n"/>
      <c r="H22" s="101" t="inlineStr">
        <is>
          <t>Loan</t>
        </is>
      </c>
      <c r="I22" s="102">
        <f>IFERROR(VLOOKUP(H22,Lists!$C$2:$D$1048576,2,0),0)/$N$2</f>
        <v/>
      </c>
      <c r="J22" s="68">
        <f>(IF($D$2="",SUMIFS(MasterData!$L$2:$L$1048576,MasterData!$F$2:$F$1048576,H22,MasterData!$B$2:$B$1048576,$B$2,MasterData!$J$2:$J$1048576,TRUE),SUMIFS(MasterData!$L$2:$L$1048576,MasterData!$F$2:$F$1048576,H22,MasterData!$B$2:$B$1048576,$B$2,MasterData!$C$2:$C$1048576,$D$2,MasterData!$J$2:$J$1048576,TRUE)))/($N$2)</f>
        <v/>
      </c>
      <c r="K22" s="103">
        <f>I22-J22</f>
        <v/>
      </c>
      <c r="L22" s="104">
        <f>IF(I22=0,"",K22/I22)</f>
        <v/>
      </c>
    </row>
    <row r="23" ht="18" customHeight="1" s="114">
      <c r="A23" s="131">
        <f>IF(Lists!$M4="","",Lists!$M4)</f>
        <v/>
      </c>
      <c r="B23" s="132">
        <f>IF(Lists!$M4="","",Lists!$N4)</f>
        <v/>
      </c>
      <c r="C23" s="133">
        <f>IF(Lists!$M4="","",IFERROR(MIN(Lists!$O4/$N$2, $D$6*Lists!$N4),0))</f>
        <v/>
      </c>
      <c r="D23" s="133">
        <f>IF(Lists!$M4="","",IFERROR(Lists!$O4/$N$2,0))</f>
        <v/>
      </c>
      <c r="E23" s="133">
        <f>IF(Lists!$M4="","",IFERROR(MAX(0,Lists!$O4/$N$2-MIN(Lists!$O4/$N$2,$D$6*Lists!$N4)),0))</f>
        <v/>
      </c>
      <c r="F23" s="132">
        <f>IF(OR(Lists!$M4="",Lists!$O4=0),"",IFERROR(MIN(1,MIN(Lists!$O4/$N$2,$D$6*Lists!$N4)/(Lists!$O4/$N$2)),0))</f>
        <v/>
      </c>
      <c r="G23" s="129" t="n"/>
      <c r="H23" s="97" t="inlineStr">
        <is>
          <t>Investment</t>
        </is>
      </c>
      <c r="I23" s="98">
        <f>IFERROR(VLOOKUP(H23,Lists!$C$2:$D$1048576,2,0),0)/$N$2</f>
        <v/>
      </c>
      <c r="J23" s="71">
        <f>(IF($D$2="",SUMIFS(MasterData!$L$2:$L$1048576,MasterData!$F$2:$F$1048576,H23,MasterData!$B$2:$B$1048576,$B$2,MasterData!$J$2:$J$1048576,TRUE),SUMIFS(MasterData!$L$2:$L$1048576,MasterData!$F$2:$F$1048576,H23,MasterData!$B$2:$B$1048576,$B$2,MasterData!$C$2:$C$1048576,$D$2,MasterData!$J$2:$J$1048576,TRUE)))/($N$2)</f>
        <v/>
      </c>
      <c r="K23" s="99">
        <f>I23-J23</f>
        <v/>
      </c>
      <c r="L23" s="100">
        <f>IF(I23=0,"",K23/I23)</f>
        <v/>
      </c>
    </row>
    <row r="24" ht="18" customHeight="1" s="114">
      <c r="A24" s="134">
        <f>IF(Lists!$M5="","",Lists!$M5)</f>
        <v/>
      </c>
      <c r="B24" s="135">
        <f>IF(Lists!$M5="","",Lists!$N5)</f>
        <v/>
      </c>
      <c r="C24" s="136">
        <f>IF(Lists!$M5="","",IFERROR(MIN(Lists!$O5/$N$2, $D$6*Lists!$N5),0))</f>
        <v/>
      </c>
      <c r="D24" s="136">
        <f>IF(Lists!$M5="","",IFERROR(Lists!$O5/$N$2,0))</f>
        <v/>
      </c>
      <c r="E24" s="136">
        <f>IF(Lists!$M5="","",IFERROR(MAX(0,Lists!$O5/$N$2-MIN(Lists!$O5/$N$2,$D$6*Lists!$N5)),0))</f>
        <v/>
      </c>
      <c r="F24" s="135">
        <f>IF(OR(Lists!$M5="",Lists!$O5=0),"",IFERROR(MIN(1,MIN(Lists!$O5/$N$2,$D$6*Lists!$N5)/(Lists!$O5/$N$2)),0))</f>
        <v/>
      </c>
      <c r="G24" s="129" t="n"/>
      <c r="H24" s="101" t="inlineStr">
        <is>
          <t>Government</t>
        </is>
      </c>
      <c r="I24" s="102">
        <f>IFERROR(VLOOKUP(H24,Lists!$C$2:$D$1048576,2,0),0)/$N$2</f>
        <v/>
      </c>
      <c r="J24" s="68">
        <f>(IF($D$2="",SUMIFS(MasterData!$L$2:$L$1048576,MasterData!$F$2:$F$1048576,H24,MasterData!$B$2:$B$1048576,$B$2,MasterData!$J$2:$J$1048576,TRUE),SUMIFS(MasterData!$L$2:$L$1048576,MasterData!$F$2:$F$1048576,H24,MasterData!$B$2:$B$1048576,$B$2,MasterData!$C$2:$C$1048576,$D$2,MasterData!$J$2:$J$1048576,TRUE)))/($N$2)</f>
        <v/>
      </c>
      <c r="K24" s="103">
        <f>I24-J24</f>
        <v/>
      </c>
      <c r="L24" s="104">
        <f>IF(I24=0,"",K24/I24)</f>
        <v/>
      </c>
    </row>
    <row r="25" ht="18" customHeight="1" s="114">
      <c r="A25" s="131">
        <f>IF(Lists!$M6="","",Lists!$M6)</f>
        <v/>
      </c>
      <c r="B25" s="132">
        <f>IF(Lists!$M6="","",Lists!$N6)</f>
        <v/>
      </c>
      <c r="C25" s="133">
        <f>IF(Lists!$M6="","",IFERROR(MIN(Lists!$O6/$N$2, $D$6*Lists!$N6),0))</f>
        <v/>
      </c>
      <c r="D25" s="133">
        <f>IF(Lists!$M6="","",IFERROR(Lists!$O6/$N$2,0))</f>
        <v/>
      </c>
      <c r="E25" s="133">
        <f>IF(Lists!$M6="","",IFERROR(MAX(0,Lists!$O6/$N$2-MIN(Lists!$O6/$N$2,$D$6*Lists!$N6)),0))</f>
        <v/>
      </c>
      <c r="F25" s="132">
        <f>IF(OR(Lists!$M6="",Lists!$O6=0),"",IFERROR(MIN(1,MIN(Lists!$O6/$N$2,$D$6*Lists!$N6)/(Lists!$O6/$N$2)),0))</f>
        <v/>
      </c>
      <c r="G25" s="129" t="n"/>
      <c r="H25" s="97" t="inlineStr">
        <is>
          <t>Education</t>
        </is>
      </c>
      <c r="I25" s="98">
        <f>IFERROR(VLOOKUP(H25,Lists!$C$2:$D$1048576,2,0),0)/$N$2</f>
        <v/>
      </c>
      <c r="J25" s="71">
        <f>(IF($D$2="",SUMIFS(MasterData!$L$2:$L$1048576,MasterData!$F$2:$F$1048576,H25,MasterData!$B$2:$B$1048576,$B$2,MasterData!$J$2:$J$1048576,TRUE),SUMIFS(MasterData!$L$2:$L$1048576,MasterData!$F$2:$F$1048576,H25,MasterData!$B$2:$B$1048576,$B$2,MasterData!$C$2:$C$1048576,$D$2,MasterData!$J$2:$J$1048576,TRUE)))/($N$2)</f>
        <v/>
      </c>
      <c r="K25" s="99">
        <f>I25-J25</f>
        <v/>
      </c>
      <c r="L25" s="100">
        <f>IF(I25=0,"",K25/I25)</f>
        <v/>
      </c>
    </row>
    <row r="26" ht="18" customHeight="1" s="114">
      <c r="A26" s="134">
        <f>IF(Lists!$M7="","",Lists!$M7)</f>
        <v/>
      </c>
      <c r="B26" s="135">
        <f>IF(Lists!$M7="","",Lists!$N7)</f>
        <v/>
      </c>
      <c r="C26" s="136">
        <f>IF(Lists!$M7="","",IFERROR(MIN(Lists!$O7/$N$2, $D$6*Lists!$N7),0))</f>
        <v/>
      </c>
      <c r="D26" s="136">
        <f>IF(Lists!$M7="","",IFERROR(Lists!$O7/$N$2,0))</f>
        <v/>
      </c>
      <c r="E26" s="136">
        <f>IF(Lists!$M7="","",IFERROR(MAX(0,Lists!$O7/$N$2-MIN(Lists!$O7/$N$2,$D$6*Lists!$N7)),0))</f>
        <v/>
      </c>
      <c r="F26" s="135">
        <f>IF(OR(Lists!$M7="",Lists!$O7=0),"",IFERROR(MIN(1,MIN(Lists!$O7/$N$2,$D$6*Lists!$N7)/(Lists!$O7/$N$2)),0))</f>
        <v/>
      </c>
      <c r="G26" s="129" t="n"/>
      <c r="H26" s="101" t="inlineStr">
        <is>
          <t>Subscriptions</t>
        </is>
      </c>
      <c r="I26" s="102">
        <f>IFERROR(VLOOKUP(H26,Lists!$C$2:$D$1048576,2,0),0)/$N$2</f>
        <v/>
      </c>
      <c r="J26" s="68">
        <f>(IF($D$2="",SUMIFS(MasterData!$L$2:$L$1048576,MasterData!$F$2:$F$1048576,H26,MasterData!$B$2:$B$1048576,$B$2,MasterData!$J$2:$J$1048576,TRUE),SUMIFS(MasterData!$L$2:$L$1048576,MasterData!$F$2:$F$1048576,H26,MasterData!$B$2:$B$1048576,$B$2,MasterData!$C$2:$C$1048576,$D$2,MasterData!$J$2:$J$1048576,TRUE)))/($N$2)</f>
        <v/>
      </c>
      <c r="K26" s="103">
        <f>I26-J26</f>
        <v/>
      </c>
      <c r="L26" s="104">
        <f>IF(I26=0,"",K26/I26)</f>
        <v/>
      </c>
    </row>
    <row r="27" ht="18" customHeight="1" s="114">
      <c r="A27" s="131">
        <f>IF(Lists!$M8="","",Lists!$M8)</f>
        <v/>
      </c>
      <c r="B27" s="132">
        <f>IF(Lists!$M8="","",Lists!$N8)</f>
        <v/>
      </c>
      <c r="C27" s="133">
        <f>IF(Lists!$M8="","",IFERROR(MIN(Lists!$O8/$N$2, $D$6*Lists!$N8),0))</f>
        <v/>
      </c>
      <c r="D27" s="133">
        <f>IF(Lists!$M8="","",IFERROR(Lists!$O8/$N$2,0))</f>
        <v/>
      </c>
      <c r="E27" s="133">
        <f>IF(Lists!$M8="","",IFERROR(MAX(0,Lists!$O8/$N$2-MIN(Lists!$O8/$N$2,$D$6*Lists!$N8)),0))</f>
        <v/>
      </c>
      <c r="F27" s="132">
        <f>IF(OR(Lists!$M8="",Lists!$O8=0),"",IFERROR(MIN(1,MIN(Lists!$O8/$N$2,$D$6*Lists!$N8)/(Lists!$O8/$N$2)),0))</f>
        <v/>
      </c>
      <c r="G27" s="129" t="n"/>
      <c r="H27" s="97" t="inlineStr">
        <is>
          <t>Other</t>
        </is>
      </c>
      <c r="I27" s="98">
        <f>IFERROR(VLOOKUP(H27,Lists!$C$2:$D$1048576,2,0),0)/$N$2</f>
        <v/>
      </c>
      <c r="J27" s="71">
        <f>(IF($D$2="",SUMIFS(MasterData!$L$2:$L$1048576,MasterData!$F$2:$F$1048576,H27,MasterData!$B$2:$B$1048576,$B$2,MasterData!$J$2:$J$1048576,TRUE),SUMIFS(MasterData!$L$2:$L$1048576,MasterData!$F$2:$F$1048576,H27,MasterData!$B$2:$B$1048576,$B$2,MasterData!$C$2:$C$1048576,$D$2,MasterData!$J$2:$J$1048576,TRUE)))/($N$2)</f>
        <v/>
      </c>
      <c r="K27" s="99">
        <f>I27-J27</f>
        <v/>
      </c>
      <c r="L27" s="100">
        <f>IF(I27=0,"",K27/I27)</f>
        <v/>
      </c>
    </row>
    <row r="28" ht="18" customHeight="1" s="114">
      <c r="A28" s="134">
        <f>IF(Lists!$M9="","",Lists!$M9)</f>
        <v/>
      </c>
      <c r="B28" s="135">
        <f>IF(Lists!$M9="","",Lists!$N9)</f>
        <v/>
      </c>
      <c r="C28" s="136">
        <f>IF(Lists!$M9="","",IFERROR(MIN(Lists!$O9/$N$2, $D$6*Lists!$N9),0))</f>
        <v/>
      </c>
      <c r="D28" s="136">
        <f>IF(Lists!$M9="","",IFERROR(Lists!$O9/$N$2,0))</f>
        <v/>
      </c>
      <c r="E28" s="136">
        <f>IF(Lists!$M9="","",IFERROR(MAX(0,Lists!$O9/$N$2-MIN(Lists!$O9/$N$2,$D$6*Lists!$N9)),0))</f>
        <v/>
      </c>
      <c r="F28" s="135">
        <f>IF(OR(Lists!$M9="",Lists!$O9=0),"",IFERROR(MIN(1,MIN(Lists!$O9/$N$2,$D$6*Lists!$N9)/(Lists!$O9/$N$2)),0))</f>
        <v/>
      </c>
      <c r="G28" s="129" t="n"/>
      <c r="H28" s="80" t="inlineStr">
        <is>
          <t>TOTAL</t>
        </is>
      </c>
      <c r="I28" s="81">
        <f>SUM(I11:I27)</f>
        <v/>
      </c>
      <c r="J28" s="81">
        <f>SUM(J11:J27)</f>
        <v/>
      </c>
      <c r="K28" s="113">
        <f>SUM(K11:K27)</f>
        <v/>
      </c>
    </row>
    <row r="29" ht="18" customHeight="1" s="114">
      <c r="A29" s="131">
        <f>IF(Lists!$M10="","",Lists!$M10)</f>
        <v/>
      </c>
      <c r="B29" s="132">
        <f>IF(Lists!$M10="","",Lists!$N10)</f>
        <v/>
      </c>
      <c r="C29" s="133">
        <f>IF(Lists!$M10="","",IFERROR(MIN(Lists!$O10/$N$2, $D$6*Lists!$N10),0))</f>
        <v/>
      </c>
      <c r="D29" s="133">
        <f>IF(Lists!$M10="","",IFERROR(Lists!$O10/$N$2,0))</f>
        <v/>
      </c>
      <c r="E29" s="133">
        <f>IF(Lists!$M10="","",IFERROR(MAX(0,Lists!$O10/$N$2-MIN(Lists!$O10/$N$2,$D$6*Lists!$N10)),0))</f>
        <v/>
      </c>
      <c r="F29" s="132">
        <f>IF(OR(Lists!$M10="",Lists!$O10=0),"",IFERROR(MIN(1,MIN(Lists!$O10/$N$2,$D$6*Lists!$N10)/(Lists!$O10/$N$2)),0))</f>
        <v/>
      </c>
      <c r="G29" s="129" t="n"/>
    </row>
    <row r="30" ht="18" customHeight="1" s="114">
      <c r="A30" s="134">
        <f>IF(Lists!$M11="","",Lists!$M11)</f>
        <v/>
      </c>
      <c r="B30" s="135">
        <f>IF(Lists!$M11="","",Lists!$N11)</f>
        <v/>
      </c>
      <c r="C30" s="136">
        <f>IF(Lists!$M11="","",IFERROR(MIN(Lists!$O11/$N$2, $D$6*Lists!$N11),0))</f>
        <v/>
      </c>
      <c r="D30" s="136">
        <f>IF(Lists!$M11="","",IFERROR(Lists!$O11/$N$2,0))</f>
        <v/>
      </c>
      <c r="E30" s="136">
        <f>IF(Lists!$M11="","",IFERROR(MAX(0,Lists!$O11/$N$2-MIN(Lists!$O11/$N$2,$D$6*Lists!$N11)),0))</f>
        <v/>
      </c>
      <c r="F30" s="135">
        <f>IF(OR(Lists!$M11="",Lists!$O11=0),"",IFERROR(MIN(1,MIN(Lists!$O11/$N$2,$D$6*Lists!$N11)/(Lists!$O11/$N$2)),0))</f>
        <v/>
      </c>
      <c r="G30" s="129" t="n"/>
    </row>
    <row r="31" ht="18" customHeight="1" s="114">
      <c r="A31" s="131">
        <f>IF(Lists!$M12="","",Lists!$M12)</f>
        <v/>
      </c>
      <c r="B31" s="132">
        <f>IF(Lists!$M12="","",Lists!$N12)</f>
        <v/>
      </c>
      <c r="C31" s="133">
        <f>IF(Lists!$M12="","",IFERROR(MIN(Lists!$O12/$N$2, $D$6*Lists!$N12),0))</f>
        <v/>
      </c>
      <c r="D31" s="133">
        <f>IF(Lists!$M12="","",IFERROR(Lists!$O12/$N$2,0))</f>
        <v/>
      </c>
      <c r="E31" s="133">
        <f>IF(Lists!$M12="","",IFERROR(MAX(0,Lists!$O12/$N$2-MIN(Lists!$O12/$N$2,$D$6*Lists!$N12)),0))</f>
        <v/>
      </c>
      <c r="F31" s="132">
        <f>IF(OR(Lists!$M12="",Lists!$O12=0),"",IFERROR(MIN(1,MIN(Lists!$O12/$N$2,$D$6*Lists!$N12)/(Lists!$O12/$N$2)),0))</f>
        <v/>
      </c>
      <c r="G31" s="129" t="n"/>
    </row>
    <row r="32" ht="18" customHeight="1" s="114">
      <c r="A32" s="134">
        <f>IF(Lists!$M13="","",Lists!$M13)</f>
        <v/>
      </c>
      <c r="B32" s="135">
        <f>IF(Lists!$M13="","",Lists!$N13)</f>
        <v/>
      </c>
      <c r="C32" s="136">
        <f>IF(Lists!$M13="","",IFERROR(MIN(Lists!$O13/$N$2, $D$6*Lists!$N13),0))</f>
        <v/>
      </c>
      <c r="D32" s="136">
        <f>IF(Lists!$M13="","",IFERROR(Lists!$O13/$N$2,0))</f>
        <v/>
      </c>
      <c r="E32" s="136">
        <f>IF(Lists!$M13="","",IFERROR(MAX(0,Lists!$O13/$N$2-MIN(Lists!$O13/$N$2,$D$6*Lists!$N13)),0))</f>
        <v/>
      </c>
      <c r="F32" s="135">
        <f>IF(OR(Lists!$M13="",Lists!$O13=0),"",IFERROR(MIN(1,MIN(Lists!$O13/$N$2,$D$6*Lists!$N13)/(Lists!$O13/$N$2)),0))</f>
        <v/>
      </c>
      <c r="G32" s="129" t="n"/>
    </row>
    <row r="33" ht="18" customHeight="1" s="114">
      <c r="A33" s="131">
        <f>IF(Lists!$M14="","",Lists!$M14)</f>
        <v/>
      </c>
      <c r="B33" s="132">
        <f>IF(Lists!$M14="","",Lists!$N14)</f>
        <v/>
      </c>
      <c r="C33" s="133">
        <f>IF(Lists!$M14="","",IFERROR(MIN(Lists!$O14/$N$2, $D$6*Lists!$N14),0))</f>
        <v/>
      </c>
      <c r="D33" s="133">
        <f>IF(Lists!$M14="","",IFERROR(Lists!$O14/$N$2,0))</f>
        <v/>
      </c>
      <c r="E33" s="133">
        <f>IF(Lists!$M14="","",IFERROR(MAX(0,Lists!$O14/$N$2-MIN(Lists!$O14/$N$2,$D$6*Lists!$N14)),0))</f>
        <v/>
      </c>
      <c r="F33" s="132">
        <f>IF(OR(Lists!$M14="",Lists!$O14=0),"",IFERROR(MIN(1,MIN(Lists!$O14/$N$2,$D$6*Lists!$N14)/(Lists!$O14/$N$2)),0))</f>
        <v/>
      </c>
      <c r="G33" s="129" t="n"/>
    </row>
    <row r="34" ht="18" customHeight="1" s="114">
      <c r="A34" s="134">
        <f>IF(Lists!$M15="","",Lists!$M15)</f>
        <v/>
      </c>
      <c r="B34" s="135">
        <f>IF(Lists!$M15="","",Lists!$N15)</f>
        <v/>
      </c>
      <c r="C34" s="136">
        <f>IF(Lists!$M15="","",IFERROR(MIN(Lists!$O15/$N$2, $D$6*Lists!$N15),0))</f>
        <v/>
      </c>
      <c r="D34" s="136">
        <f>IF(Lists!$M15="","",IFERROR(Lists!$O15/$N$2,0))</f>
        <v/>
      </c>
      <c r="E34" s="136">
        <f>IF(Lists!$M15="","",IFERROR(MAX(0,Lists!$O15/$N$2-MIN(Lists!$O15/$N$2,$D$6*Lists!$N15)),0))</f>
        <v/>
      </c>
      <c r="F34" s="135">
        <f>IF(OR(Lists!$M15="",Lists!$O15=0),"",IFERROR(MIN(1,MIN(Lists!$O15/$N$2,$D$6*Lists!$N15)/(Lists!$O15/$N$2)),0))</f>
        <v/>
      </c>
      <c r="G34" s="129" t="n"/>
    </row>
    <row r="35" ht="18" customHeight="1" s="114">
      <c r="A35" s="131">
        <f>IF(Lists!$M16="","",Lists!$M16)</f>
        <v/>
      </c>
      <c r="B35" s="132">
        <f>IF(Lists!$M16="","",Lists!$N16)</f>
        <v/>
      </c>
      <c r="C35" s="133">
        <f>IF(Lists!$M16="","",IFERROR(MIN(Lists!$O16/$N$2, $D$6*Lists!$N16),0))</f>
        <v/>
      </c>
      <c r="D35" s="133">
        <f>IF(Lists!$M16="","",IFERROR(Lists!$O16/$N$2,0))</f>
        <v/>
      </c>
      <c r="E35" s="133">
        <f>IF(Lists!$M16="","",IFERROR(MAX(0,Lists!$O16/$N$2-MIN(Lists!$O16/$N$2,$D$6*Lists!$N16)),0))</f>
        <v/>
      </c>
      <c r="F35" s="132">
        <f>IF(OR(Lists!$M16="",Lists!$O16=0),"",IFERROR(MIN(1,MIN(Lists!$O16/$N$2,$D$6*Lists!$N16)/(Lists!$O16/$N$2)),0))</f>
        <v/>
      </c>
      <c r="G35" s="129" t="n"/>
    </row>
    <row r="36" ht="18" customHeight="1" s="114">
      <c r="A36" s="137" t="inlineStr">
        <is>
          <t>TOTAL</t>
        </is>
      </c>
      <c r="B36" s="138" t="n"/>
      <c r="C36" s="139">
        <f>IFERROR(SUM(C21:C35),"")</f>
        <v/>
      </c>
      <c r="D36" s="139">
        <f>IFERROR(SUM(D21:D35),"")</f>
        <v/>
      </c>
      <c r="E36" s="139">
        <f>IFERROR(SUM(E21:E35),"")</f>
        <v/>
      </c>
      <c r="F36" s="141" t="n"/>
      <c r="G36" s="129" t="n"/>
    </row>
    <row r="37" ht="15.75" customHeight="1" s="114">
      <c r="A37" s="129" t="n"/>
      <c r="B37" s="129" t="n"/>
      <c r="C37" s="129" t="n"/>
      <c r="D37" s="129" t="n"/>
      <c r="E37" s="129" t="n"/>
      <c r="F37" s="129" t="n"/>
      <c r="G37" s="129" t="n"/>
    </row>
    <row r="38" ht="15.75" customHeight="1" s="114"/>
    <row r="39" ht="15.75" customHeight="1" s="114"/>
    <row r="40" ht="15.75" customHeight="1" s="114"/>
    <row r="41" ht="15.75" customHeight="1" s="114"/>
    <row r="42" ht="15.75" customHeight="1" s="114"/>
    <row r="43" ht="15.75" customHeight="1" s="114"/>
    <row r="44" ht="15.75" customHeight="1" s="114"/>
    <row r="45" ht="15.75" customHeight="1" s="114"/>
    <row r="46" ht="15.75" customHeight="1" s="114"/>
    <row r="47" ht="15.75" customHeight="1" s="114"/>
    <row r="48" ht="15.75" customHeight="1" s="114"/>
    <row r="49" ht="15.75" customHeight="1" s="114"/>
    <row r="50" ht="15.75" customHeight="1" s="114"/>
    <row r="51" ht="15.75" customHeight="1" s="114"/>
    <row r="52" ht="15.75" customHeight="1" s="114"/>
    <row r="53" ht="15.75" customHeight="1" s="114"/>
    <row r="54" ht="15.75" customHeight="1" s="114"/>
    <row r="55" ht="15.75" customHeight="1" s="114"/>
    <row r="56" ht="15.75" customHeight="1" s="114"/>
    <row r="57" ht="15.75" customHeight="1" s="114"/>
    <row r="58" ht="15.75" customHeight="1" s="114"/>
    <row r="59" ht="15.75" customHeight="1" s="114"/>
    <row r="60" ht="15.75" customHeight="1" s="114"/>
    <row r="61" ht="15.75" customHeight="1" s="114"/>
    <row r="62" ht="15.75" customHeight="1" s="114"/>
    <row r="63" ht="15.75" customHeight="1" s="114"/>
    <row r="64" ht="15.75" customHeight="1" s="114"/>
    <row r="65" ht="15.75" customHeight="1" s="114"/>
    <row r="66" ht="15.75" customHeight="1" s="114"/>
    <row r="67" ht="15.75" customHeight="1" s="114"/>
    <row r="68" ht="15.75" customHeight="1" s="114"/>
    <row r="69" ht="15.75" customHeight="1" s="114"/>
    <row r="70" ht="15.75" customHeight="1" s="114"/>
    <row r="71" ht="15.75" customHeight="1" s="114"/>
    <row r="72" ht="15.75" customHeight="1" s="114"/>
    <row r="73" ht="15.75" customHeight="1" s="114"/>
    <row r="74" ht="15.75" customHeight="1" s="114"/>
    <row r="75" ht="15.75" customHeight="1" s="114"/>
    <row r="76" ht="15.75" customHeight="1" s="114"/>
    <row r="77" ht="15.75" customHeight="1" s="114"/>
    <row r="78" ht="15.75" customHeight="1" s="114"/>
    <row r="79" ht="15.75" customHeight="1" s="114"/>
    <row r="80" ht="15.75" customHeight="1" s="114"/>
    <row r="81" ht="15.75" customHeight="1" s="114"/>
    <row r="82" ht="15.75" customHeight="1" s="114"/>
    <row r="83" ht="15.75" customHeight="1" s="114"/>
    <row r="84" ht="15.75" customHeight="1" s="114"/>
    <row r="85" ht="15.75" customHeight="1" s="114"/>
    <row r="86" ht="15.75" customHeight="1" s="114"/>
    <row r="87" ht="15.75" customHeight="1" s="114"/>
    <row r="88" ht="15.75" customHeight="1" s="114"/>
    <row r="89" ht="15.75" customHeight="1" s="114"/>
    <row r="90" ht="15.75" customHeight="1" s="114"/>
    <row r="91" ht="15.75" customHeight="1" s="114"/>
    <row r="92" ht="15.75" customHeight="1" s="114"/>
    <row r="93" ht="15.75" customHeight="1" s="114"/>
    <row r="94" ht="15.75" customHeight="1" s="114"/>
    <row r="95" ht="15.75" customHeight="1" s="114"/>
    <row r="96" ht="15.75" customHeight="1" s="114"/>
    <row r="97" ht="15.75" customHeight="1" s="114"/>
    <row r="98" ht="15.75" customHeight="1" s="114"/>
    <row r="99" ht="15.75" customHeight="1" s="114"/>
    <row r="100" ht="15.75" customHeight="1" s="114"/>
    <row r="101" ht="15.75" customHeight="1" s="114"/>
    <row r="102" ht="15.75" customHeight="1" s="114"/>
    <row r="103" ht="15.75" customHeight="1" s="114"/>
    <row r="104" ht="15.75" customHeight="1" s="114"/>
    <row r="105" ht="15.75" customHeight="1" s="114"/>
    <row r="106" ht="15.75" customHeight="1" s="114"/>
    <row r="107" ht="15.75" customHeight="1" s="114"/>
    <row r="108" ht="15.75" customHeight="1" s="114"/>
    <row r="109" ht="15.75" customHeight="1" s="114"/>
    <row r="110" ht="15.75" customHeight="1" s="114"/>
    <row r="111" ht="15.75" customHeight="1" s="114"/>
    <row r="112" ht="15.75" customHeight="1" s="114"/>
    <row r="113" ht="15.75" customHeight="1" s="114"/>
    <row r="114" ht="15.75" customHeight="1" s="114"/>
    <row r="115" ht="15.75" customHeight="1" s="114"/>
    <row r="116" ht="15.75" customHeight="1" s="114"/>
    <row r="117" ht="15.75" customHeight="1" s="114"/>
    <row r="118" ht="15.75" customHeight="1" s="114"/>
    <row r="119" ht="15.75" customHeight="1" s="114"/>
    <row r="120" ht="15.75" customHeight="1" s="114"/>
    <row r="121" ht="15.75" customHeight="1" s="114"/>
    <row r="122" ht="15.75" customHeight="1" s="114"/>
    <row r="123" ht="15.75" customHeight="1" s="114"/>
    <row r="124" ht="15.75" customHeight="1" s="114"/>
    <row r="125" ht="15.75" customHeight="1" s="114"/>
    <row r="126" ht="15.75" customHeight="1" s="114"/>
    <row r="127" ht="15.75" customHeight="1" s="114"/>
    <row r="128" ht="15.75" customHeight="1" s="114"/>
    <row r="129" ht="15.75" customHeight="1" s="114"/>
    <row r="130" ht="15.75" customHeight="1" s="114"/>
    <row r="131" ht="15.75" customHeight="1" s="114"/>
    <row r="132" ht="15.75" customHeight="1" s="114"/>
    <row r="133" ht="15.75" customHeight="1" s="114"/>
    <row r="134" ht="15.75" customHeight="1" s="114"/>
    <row r="135" ht="15.75" customHeight="1" s="114"/>
    <row r="136" ht="15.75" customHeight="1" s="114"/>
    <row r="137" ht="15.75" customHeight="1" s="114"/>
    <row r="138" ht="15.75" customHeight="1" s="114"/>
    <row r="139" ht="15.75" customHeight="1" s="114"/>
    <row r="140" ht="15.75" customHeight="1" s="114"/>
    <row r="141" ht="15.75" customHeight="1" s="114"/>
    <row r="142" ht="15.75" customHeight="1" s="114"/>
    <row r="143" ht="15.75" customHeight="1" s="114"/>
    <row r="144" ht="15.75" customHeight="1" s="114"/>
    <row r="145" ht="15.75" customHeight="1" s="114"/>
    <row r="146" ht="15.75" customHeight="1" s="114"/>
    <row r="147" ht="15.75" customHeight="1" s="114"/>
    <row r="148" ht="15.75" customHeight="1" s="114"/>
    <row r="149" ht="15.75" customHeight="1" s="114"/>
    <row r="150" ht="15.75" customHeight="1" s="114"/>
    <row r="151" ht="15.75" customHeight="1" s="114"/>
    <row r="152" ht="15.75" customHeight="1" s="114"/>
    <row r="153" ht="15.75" customHeight="1" s="114"/>
    <row r="154" ht="15.75" customHeight="1" s="114"/>
    <row r="155" ht="15.75" customHeight="1" s="114"/>
    <row r="156" ht="15.75" customHeight="1" s="114"/>
    <row r="157" ht="15.75" customHeight="1" s="114"/>
    <row r="158" ht="15.75" customHeight="1" s="114"/>
    <row r="159" ht="15.75" customHeight="1" s="114"/>
    <row r="160" ht="15.75" customHeight="1" s="114"/>
    <row r="161" ht="15.75" customHeight="1" s="114"/>
    <row r="162" ht="15.75" customHeight="1" s="114"/>
    <row r="163" ht="15.75" customHeight="1" s="114"/>
    <row r="164" ht="15.75" customHeight="1" s="114"/>
    <row r="165" ht="15.75" customHeight="1" s="114"/>
    <row r="166" ht="15.75" customHeight="1" s="114"/>
    <row r="167" ht="15.75" customHeight="1" s="114"/>
    <row r="168" ht="15.75" customHeight="1" s="114"/>
    <row r="169" ht="15.75" customHeight="1" s="114"/>
    <row r="170" ht="15.75" customHeight="1" s="114"/>
    <row r="171" ht="15.75" customHeight="1" s="114"/>
    <row r="172" ht="15.75" customHeight="1" s="114"/>
    <row r="173" ht="15.75" customHeight="1" s="114"/>
    <row r="174" ht="15.75" customHeight="1" s="114"/>
    <row r="175" ht="15.75" customHeight="1" s="114"/>
    <row r="176" ht="15.75" customHeight="1" s="114"/>
    <row r="177" ht="15.75" customHeight="1" s="114"/>
    <row r="178" ht="15.75" customHeight="1" s="114"/>
    <row r="179" ht="15.75" customHeight="1" s="114"/>
    <row r="180" ht="15.75" customHeight="1" s="114"/>
    <row r="181" ht="15.75" customHeight="1" s="114"/>
    <row r="182" ht="15.75" customHeight="1" s="114"/>
    <row r="183" ht="15.75" customHeight="1" s="114"/>
    <row r="184" ht="15.75" customHeight="1" s="114"/>
    <row r="185" ht="15.75" customHeight="1" s="114"/>
    <row r="186" ht="15.75" customHeight="1" s="114"/>
    <row r="187" ht="15.75" customHeight="1" s="114"/>
    <row r="188" ht="15.75" customHeight="1" s="114"/>
    <row r="189" ht="15.75" customHeight="1" s="114"/>
    <row r="190" ht="15.75" customHeight="1" s="114"/>
    <row r="191" ht="15.75" customHeight="1" s="114"/>
    <row r="192" ht="15.75" customHeight="1" s="114"/>
    <row r="193" ht="15.75" customHeight="1" s="114"/>
    <row r="194" ht="15.75" customHeight="1" s="114"/>
    <row r="195" ht="15.75" customHeight="1" s="114"/>
    <row r="196" ht="15.75" customHeight="1" s="114"/>
    <row r="197" ht="15.75" customHeight="1" s="114"/>
    <row r="198" ht="15.75" customHeight="1" s="114"/>
    <row r="199" ht="15.75" customHeight="1" s="114"/>
    <row r="200" ht="15.75" customHeight="1" s="114"/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mergeCells count="1">
    <mergeCell ref="A19:F19"/>
  </mergeCells>
  <conditionalFormatting sqref="F21:F35">
    <cfRule type="expression" priority="1" dxfId="0">
      <formula>AND(F21&lt;&gt;"",F21&lt;0.5)</formula>
    </cfRule>
    <cfRule type="expression" priority="2" dxfId="1">
      <formula>AND(F21&gt;=0.5,F21&lt;1)</formula>
    </cfRule>
    <cfRule type="expression" priority="3" dxfId="2">
      <formula>F21&gt;=1</formula>
    </cfRule>
    <cfRule type="expression" priority="4" dxfId="0">
      <formula>AND(F21&lt;&gt;"",F21&lt;0.5)</formula>
    </cfRule>
    <cfRule type="expression" priority="5" dxfId="1">
      <formula>AND(F21&gt;=0.5,F21&lt;1)</formula>
    </cfRule>
    <cfRule type="expression" priority="6" dxfId="2">
      <formula>F21&gt;=1</formula>
    </cfRule>
    <cfRule type="expression" priority="7" dxfId="0">
      <formula>AND(F21&lt;&gt;"",F21&lt;0.5)</formula>
    </cfRule>
    <cfRule type="expression" priority="8" dxfId="1">
      <formula>AND(F21&gt;=0.5,F21&lt;1)</formula>
    </cfRule>
    <cfRule type="expression" priority="9" dxfId="2">
      <formula>F21&gt;=1</formula>
    </cfRule>
  </conditionalFormatting>
  <dataValidations count="3">
    <dataValidation sqref="B2" showDropDown="0" showInputMessage="0" showErrorMessage="0" allowBlank="1" type="list">
      <formula1>Lists!$F$2:$F$5</formula1>
    </dataValidation>
    <dataValidation sqref="F2" showDropDown="0" showInputMessage="0" showErrorMessage="0" allowBlank="1" type="list">
      <formula1>Lists!$H$2:$H$7</formula1>
    </dataValidation>
    <dataValidation sqref="D2" showDropDown="0" showInputMessage="0" showErrorMessage="0" allowBlank="1" type="list">
      <formula1>Lists!$A$2:$A$13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StartDate</t>
        </is>
      </c>
      <c r="B1" s="0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2026-06-06T12:01:00Z</dcterms:created>
  <dcterms:modified xmlns:dcterms="http://purl.org/dc/terms/" xmlns:xsi="http://www.w3.org/2001/XMLSchema-instance" xsi:type="dcterms:W3CDTF">2026-07-25T07:01:48Z</dcterms:modified>
</cp:coreProperties>
</file>